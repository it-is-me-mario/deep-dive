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xtgen22.sharepoint.com/sites/development/Shared Documents/(TR) - Training/Y26M06 - MARIO Deep Dive Training/"/>
    </mc:Choice>
  </mc:AlternateContent>
  <xr:revisionPtr revIDLastSave="9335" documentId="13_ncr:1_{14C53F9F-C725-405F-AFCE-17518AF09F0B}" xr6:coauthVersionLast="47" xr6:coauthVersionMax="47" xr10:uidLastSave="{CF5975F5-4D29-4585-A9D1-25028E251DBB}"/>
  <bookViews>
    <workbookView xWindow="28680" yWindow="-120" windowWidth="38640" windowHeight="21120" xr2:uid="{00000000-000D-0000-FFFF-FFFF00000000}"/>
  </bookViews>
  <sheets>
    <sheet name="Ex. 1" sheetId="15" r:id="rId1"/>
    <sheet name="Ex. 2" sheetId="19" r:id="rId2"/>
    <sheet name="Ex. 3a,b" sheetId="11" state="hidden" r:id="rId3"/>
    <sheet name="Ex. 3c" sheetId="12" state="hidden" r:id="rId4"/>
    <sheet name="Ex. 3d" sheetId="14" state="hidden" r:id="rId5"/>
    <sheet name="Ex. 3e" sheetId="17" state="hidden" r:id="rId6"/>
  </sheets>
  <definedNames>
    <definedName name="solver_adj" localSheetId="1" hidden="1">'Ex. 2'!$M$68</definedName>
    <definedName name="solver_adj" localSheetId="5" hidden="1">'Ex. 3e'!$H$20</definedName>
    <definedName name="solver_cvg" localSheetId="1" hidden="1">0.0001</definedName>
    <definedName name="solver_cvg" localSheetId="5" hidden="1">0.0001</definedName>
    <definedName name="solver_drv" localSheetId="1" hidden="1">1</definedName>
    <definedName name="solver_drv" localSheetId="5" hidden="1">1</definedName>
    <definedName name="solver_eng" localSheetId="1" hidden="1">1</definedName>
    <definedName name="solver_eng" localSheetId="5" hidden="1">1</definedName>
    <definedName name="solver_itr" localSheetId="1" hidden="1">2147483647</definedName>
    <definedName name="solver_itr" localSheetId="5" hidden="1">2147483647</definedName>
    <definedName name="solver_lhs1" localSheetId="5" hidden="1">'Ex. 3e'!$AZ$55</definedName>
    <definedName name="solver_lin" localSheetId="1" hidden="1">2</definedName>
    <definedName name="solver_lin" localSheetId="5" hidden="1">2</definedName>
    <definedName name="solver_mip" localSheetId="1" hidden="1">2147483647</definedName>
    <definedName name="solver_mip" localSheetId="5" hidden="1">2147483647</definedName>
    <definedName name="solver_mni" localSheetId="1" hidden="1">30</definedName>
    <definedName name="solver_mni" localSheetId="5" hidden="1">30</definedName>
    <definedName name="solver_mrt" localSheetId="1" hidden="1">0.075</definedName>
    <definedName name="solver_mrt" localSheetId="5" hidden="1">0.075</definedName>
    <definedName name="solver_msl" localSheetId="1" hidden="1">2</definedName>
    <definedName name="solver_msl" localSheetId="5" hidden="1">2</definedName>
    <definedName name="solver_neg" localSheetId="1" hidden="1">1</definedName>
    <definedName name="solver_neg" localSheetId="5" hidden="1">1</definedName>
    <definedName name="solver_nod" localSheetId="1" hidden="1">2147483647</definedName>
    <definedName name="solver_nod" localSheetId="5" hidden="1">2147483647</definedName>
    <definedName name="solver_num" localSheetId="1" hidden="1">0</definedName>
    <definedName name="solver_num" localSheetId="5" hidden="1">1</definedName>
    <definedName name="solver_opt" localSheetId="1" hidden="1">'Ex. 2'!$AB$77</definedName>
    <definedName name="solver_opt" localSheetId="5" hidden="1">'Ex. 3e'!$H$20</definedName>
    <definedName name="solver_pre" localSheetId="1" hidden="1">0.000001</definedName>
    <definedName name="solver_pre" localSheetId="5" hidden="1">0.000001</definedName>
    <definedName name="solver_rbv" localSheetId="1" hidden="1">1</definedName>
    <definedName name="solver_rbv" localSheetId="5" hidden="1">1</definedName>
    <definedName name="solver_rel1" localSheetId="5" hidden="1">1</definedName>
    <definedName name="solver_rhs1" localSheetId="5" hidden="1">'Ex. 3e'!$BC$55</definedName>
    <definedName name="solver_rlx" localSheetId="1" hidden="1">2</definedName>
    <definedName name="solver_rlx" localSheetId="5" hidden="1">1</definedName>
    <definedName name="solver_rsd" localSheetId="1" hidden="1">0</definedName>
    <definedName name="solver_rsd" localSheetId="5" hidden="1">0</definedName>
    <definedName name="solver_scl" localSheetId="1" hidden="1">1</definedName>
    <definedName name="solver_scl" localSheetId="5" hidden="1">2</definedName>
    <definedName name="solver_sho" localSheetId="1" hidden="1">2</definedName>
    <definedName name="solver_sho" localSheetId="5" hidden="1">2</definedName>
    <definedName name="solver_ssz" localSheetId="1" hidden="1">100</definedName>
    <definedName name="solver_ssz" localSheetId="5" hidden="1">100</definedName>
    <definedName name="solver_tim" localSheetId="1" hidden="1">2147483647</definedName>
    <definedName name="solver_tim" localSheetId="5" hidden="1">2147483647</definedName>
    <definedName name="solver_tol" localSheetId="1" hidden="1">0.01</definedName>
    <definedName name="solver_tol" localSheetId="5" hidden="1">0.01</definedName>
    <definedName name="solver_typ" localSheetId="1" hidden="1">2</definedName>
    <definedName name="solver_typ" localSheetId="5" hidden="1">1</definedName>
    <definedName name="solver_val" localSheetId="1" hidden="1">0</definedName>
    <definedName name="solver_val" localSheetId="5" hidden="1">0</definedName>
    <definedName name="solver_ver" localSheetId="1" hidden="1">2</definedName>
    <definedName name="solver_ver" localSheetId="5" hidden="1">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67" i="12" l="1"/>
  <c r="AC67" i="12"/>
  <c r="AC66" i="12"/>
  <c r="AB66" i="12"/>
  <c r="F58" i="11" a="1"/>
  <c r="F58" i="11" s="1"/>
  <c r="H19" i="17"/>
  <c r="I34" i="15"/>
  <c r="J34" i="15"/>
  <c r="O12" i="19" l="1"/>
  <c r="O13" i="19"/>
  <c r="O11" i="19"/>
  <c r="O8" i="19"/>
  <c r="O9" i="19"/>
  <c r="O7" i="19"/>
  <c r="AZ61" i="17" a="1"/>
  <c r="AZ55" i="17" a="1"/>
  <c r="AJ61" i="17" a="1"/>
  <c r="AJ55" i="17" a="1"/>
  <c r="Y8" i="17" a="1"/>
  <c r="Y8" i="17" s="1"/>
  <c r="O8" i="17" a="1"/>
  <c r="O8" i="17" s="1"/>
  <c r="I17" i="17" a="1"/>
  <c r="I17" i="17" s="1"/>
  <c r="H21" i="17" a="1"/>
  <c r="H22" i="17" s="1"/>
  <c r="H17" i="17" a="1"/>
  <c r="H17" i="17" s="1"/>
  <c r="F17" i="17" a="1"/>
  <c r="F17" i="17" s="1"/>
  <c r="R27" i="11"/>
  <c r="Y28" i="17" a="1"/>
  <c r="Z28" i="17" s="1"/>
  <c r="H19" i="12"/>
  <c r="Y28" i="14" a="1"/>
  <c r="Y28" i="14" s="1"/>
  <c r="Y15" i="14" a="1"/>
  <c r="Y15" i="14" s="1"/>
  <c r="Y11" i="14" a="1"/>
  <c r="Y11" i="14" s="1"/>
  <c r="Y8" i="14" a="1"/>
  <c r="Y8" i="14" s="1"/>
  <c r="O15" i="14" a="1"/>
  <c r="Q15" i="14" s="1"/>
  <c r="O11" i="14" a="1"/>
  <c r="O11" i="14" s="1"/>
  <c r="O8" i="14" a="1"/>
  <c r="O8" i="14" s="1"/>
  <c r="P9" i="14"/>
  <c r="F17" i="14" a="1"/>
  <c r="G17" i="14" s="1"/>
  <c r="J18" i="12"/>
  <c r="K18" i="12"/>
  <c r="L18" i="12"/>
  <c r="M18" i="12"/>
  <c r="J19" i="12"/>
  <c r="K19" i="12"/>
  <c r="L19" i="12"/>
  <c r="M19" i="12"/>
  <c r="J20" i="12"/>
  <c r="K20" i="12"/>
  <c r="L20" i="12"/>
  <c r="M20" i="12"/>
  <c r="J21" i="12"/>
  <c r="K21" i="12"/>
  <c r="L21" i="12"/>
  <c r="M21" i="12"/>
  <c r="J22" i="12"/>
  <c r="K22" i="12"/>
  <c r="L22" i="12"/>
  <c r="M22" i="12"/>
  <c r="J23" i="12"/>
  <c r="K23" i="12"/>
  <c r="L23" i="12"/>
  <c r="M23" i="12"/>
  <c r="J24" i="12"/>
  <c r="K24" i="12"/>
  <c r="L24" i="12"/>
  <c r="M24" i="12"/>
  <c r="J25" i="12"/>
  <c r="K25" i="12"/>
  <c r="L25" i="12"/>
  <c r="M25" i="12"/>
  <c r="I19" i="12"/>
  <c r="I20" i="12"/>
  <c r="I21" i="12"/>
  <c r="I22" i="12"/>
  <c r="I23" i="12"/>
  <c r="I24" i="12"/>
  <c r="I25" i="12"/>
  <c r="H21" i="12"/>
  <c r="H22" i="12"/>
  <c r="H23" i="12"/>
  <c r="H24" i="12"/>
  <c r="H25" i="12"/>
  <c r="G19" i="12"/>
  <c r="G20" i="12"/>
  <c r="G21" i="12"/>
  <c r="G22" i="12"/>
  <c r="G23" i="12"/>
  <c r="G24" i="12"/>
  <c r="G25" i="12"/>
  <c r="G17" i="12"/>
  <c r="H17" i="12"/>
  <c r="I17" i="12"/>
  <c r="J17" i="12"/>
  <c r="K17" i="12"/>
  <c r="L17" i="12"/>
  <c r="M17" i="12"/>
  <c r="G18" i="12"/>
  <c r="H18" i="12"/>
  <c r="I18" i="12"/>
  <c r="F18" i="12"/>
  <c r="F19" i="12"/>
  <c r="F20" i="12"/>
  <c r="F21" i="12"/>
  <c r="F22" i="12"/>
  <c r="F23" i="12"/>
  <c r="F24" i="12"/>
  <c r="F25" i="12"/>
  <c r="F17" i="12"/>
  <c r="Y28" i="12" a="1"/>
  <c r="Z28" i="12" s="1"/>
  <c r="Z8" i="12" a="1"/>
  <c r="Z12" i="12" s="1"/>
  <c r="O8" i="12" a="1"/>
  <c r="O8" i="12" s="1"/>
  <c r="AF8" i="12" a="1"/>
  <c r="AF15" i="12" s="1"/>
  <c r="Y15" i="12" s="1"/>
  <c r="V13" i="14" l="1"/>
  <c r="Y12" i="14"/>
  <c r="Z12" i="14"/>
  <c r="O27" i="17" a="1"/>
  <c r="O28" i="17" s="1"/>
  <c r="O27" i="14" a="1"/>
  <c r="O27" i="14" s="1"/>
  <c r="O27" i="12" a="1"/>
  <c r="O27" i="12" s="1"/>
  <c r="T15" i="14"/>
  <c r="Y13" i="14"/>
  <c r="T12" i="14"/>
  <c r="P12" i="14"/>
  <c r="V15" i="14"/>
  <c r="U15" i="14"/>
  <c r="T9" i="14"/>
  <c r="U14" i="12"/>
  <c r="I29" i="19" a="1"/>
  <c r="I29" i="19" s="1"/>
  <c r="V21" i="19" a="1"/>
  <c r="W21" i="19" s="1"/>
  <c r="E25" i="19" a="1"/>
  <c r="E25" i="19" s="1"/>
  <c r="I21" i="19" a="1"/>
  <c r="I21" i="19" s="1"/>
  <c r="H24" i="17"/>
  <c r="G19" i="17"/>
  <c r="H21" i="17"/>
  <c r="S13" i="17"/>
  <c r="Z15" i="17"/>
  <c r="F19" i="17"/>
  <c r="W8" i="17"/>
  <c r="O11" i="17"/>
  <c r="V8" i="17"/>
  <c r="Y15" i="17"/>
  <c r="W10" i="17"/>
  <c r="Y13" i="17"/>
  <c r="T15" i="17"/>
  <c r="Z12" i="17"/>
  <c r="T13" i="17"/>
  <c r="S9" i="14"/>
  <c r="W13" i="14"/>
  <c r="S12" i="14"/>
  <c r="W15" i="14"/>
  <c r="Z13" i="14"/>
  <c r="O9" i="14"/>
  <c r="U13" i="14"/>
  <c r="O12" i="14"/>
  <c r="T8" i="14"/>
  <c r="O13" i="14"/>
  <c r="T11" i="14"/>
  <c r="P15" i="14"/>
  <c r="W8" i="14"/>
  <c r="R13" i="14"/>
  <c r="W11" i="14"/>
  <c r="V8" i="14"/>
  <c r="Q13" i="14"/>
  <c r="V11" i="14"/>
  <c r="S15" i="14"/>
  <c r="F17" i="14"/>
  <c r="U8" i="14"/>
  <c r="P13" i="14"/>
  <c r="U11" i="14"/>
  <c r="R15" i="14"/>
  <c r="W9" i="14"/>
  <c r="S8" i="14"/>
  <c r="W12" i="14"/>
  <c r="S11" i="14"/>
  <c r="O15" i="14"/>
  <c r="V9" i="14"/>
  <c r="R8" i="14"/>
  <c r="V12" i="14"/>
  <c r="R11" i="14"/>
  <c r="U9" i="14"/>
  <c r="Q8" i="14"/>
  <c r="U12" i="14"/>
  <c r="Q11" i="14"/>
  <c r="Z9" i="14"/>
  <c r="I24" i="17"/>
  <c r="R10" i="17"/>
  <c r="W14" i="17"/>
  <c r="J18" i="17"/>
  <c r="Q12" i="17"/>
  <c r="G21" i="17"/>
  <c r="L25" i="17"/>
  <c r="K22" i="17"/>
  <c r="I18" i="17"/>
  <c r="U14" i="17"/>
  <c r="T9" i="17"/>
  <c r="F21" i="17"/>
  <c r="K25" i="17"/>
  <c r="J21" i="17"/>
  <c r="M17" i="17"/>
  <c r="W13" i="17"/>
  <c r="O12" i="17"/>
  <c r="S9" i="17"/>
  <c r="Y12" i="17"/>
  <c r="J24" i="17"/>
  <c r="L20" i="17"/>
  <c r="J20" i="17"/>
  <c r="R13" i="17"/>
  <c r="U8" i="17"/>
  <c r="J23" i="17"/>
  <c r="Q13" i="17"/>
  <c r="F25" i="17"/>
  <c r="I23" i="17"/>
  <c r="M19" i="17"/>
  <c r="S12" i="17"/>
  <c r="F24" i="17"/>
  <c r="M22" i="17"/>
  <c r="K18" i="17"/>
  <c r="R12" i="17"/>
  <c r="Q10" i="17"/>
  <c r="G20" i="17"/>
  <c r="J25" i="17"/>
  <c r="I21" i="17"/>
  <c r="L17" i="17"/>
  <c r="V13" i="17"/>
  <c r="W11" i="17"/>
  <c r="P9" i="17"/>
  <c r="Z11" i="17"/>
  <c r="K20" i="17"/>
  <c r="K23" i="17"/>
  <c r="Q15" i="17"/>
  <c r="V10" i="17"/>
  <c r="I20" i="17"/>
  <c r="P15" i="17"/>
  <c r="U10" i="17"/>
  <c r="O15" i="17"/>
  <c r="F22" i="17"/>
  <c r="L22" i="17"/>
  <c r="V14" i="17"/>
  <c r="P10" i="17"/>
  <c r="P12" i="17"/>
  <c r="F20" i="17"/>
  <c r="I25" i="17"/>
  <c r="M20" i="17"/>
  <c r="K17" i="17"/>
  <c r="U13" i="17"/>
  <c r="T11" i="17"/>
  <c r="O9" i="17"/>
  <c r="T14" i="17"/>
  <c r="P13" i="17"/>
  <c r="S11" i="17"/>
  <c r="O10" i="17"/>
  <c r="T8" i="17"/>
  <c r="Y11" i="17"/>
  <c r="R28" i="17"/>
  <c r="G25" i="17"/>
  <c r="G18" i="17"/>
  <c r="M24" i="17"/>
  <c r="J22" i="17"/>
  <c r="L19" i="17"/>
  <c r="W15" i="17"/>
  <c r="S14" i="17"/>
  <c r="V12" i="17"/>
  <c r="R11" i="17"/>
  <c r="W9" i="17"/>
  <c r="S8" i="17"/>
  <c r="Z10" i="17"/>
  <c r="P27" i="17"/>
  <c r="L24" i="17"/>
  <c r="I22" i="17"/>
  <c r="I19" i="17"/>
  <c r="V15" i="17"/>
  <c r="R14" i="17"/>
  <c r="U12" i="17"/>
  <c r="Q11" i="17"/>
  <c r="V9" i="17"/>
  <c r="R8" i="17"/>
  <c r="Y10" i="17"/>
  <c r="G24" i="17"/>
  <c r="K24" i="17"/>
  <c r="M21" i="17"/>
  <c r="M18" i="17"/>
  <c r="U15" i="17"/>
  <c r="O14" i="17"/>
  <c r="T12" i="17"/>
  <c r="P11" i="17"/>
  <c r="U9" i="17"/>
  <c r="Q8" i="17"/>
  <c r="Z9" i="17"/>
  <c r="U28" i="17"/>
  <c r="H25" i="17"/>
  <c r="L18" i="17"/>
  <c r="Z14" i="17"/>
  <c r="Y9" i="17"/>
  <c r="Y14" i="17"/>
  <c r="Z8" i="17"/>
  <c r="AB8" i="17" s="1"/>
  <c r="Z13" i="17"/>
  <c r="S15" i="17"/>
  <c r="Q14" i="17"/>
  <c r="O13" i="17"/>
  <c r="V11" i="17"/>
  <c r="T10" i="17"/>
  <c r="R9" i="17"/>
  <c r="P8" i="17"/>
  <c r="R15" i="17"/>
  <c r="P14" i="17"/>
  <c r="W12" i="17"/>
  <c r="U11" i="17"/>
  <c r="S10" i="17"/>
  <c r="Q9" i="17"/>
  <c r="M23" i="17"/>
  <c r="L21" i="17"/>
  <c r="K19" i="17"/>
  <c r="J17" i="17"/>
  <c r="M25" i="17"/>
  <c r="L23" i="17"/>
  <c r="K21" i="17"/>
  <c r="J19" i="17"/>
  <c r="H23" i="17"/>
  <c r="H18" i="17"/>
  <c r="G23" i="17"/>
  <c r="F18" i="17"/>
  <c r="F23" i="17"/>
  <c r="G17" i="17"/>
  <c r="G22" i="17"/>
  <c r="U27" i="17"/>
  <c r="W28" i="17"/>
  <c r="V28" i="17"/>
  <c r="W27" i="17"/>
  <c r="Y28" i="17"/>
  <c r="Y28" i="12"/>
  <c r="R13" i="12"/>
  <c r="T11" i="12"/>
  <c r="Q13" i="12"/>
  <c r="W11" i="12"/>
  <c r="Q10" i="12"/>
  <c r="P10" i="12"/>
  <c r="V8" i="12"/>
  <c r="Z11" i="12"/>
  <c r="V14" i="12"/>
  <c r="T8" i="12"/>
  <c r="W15" i="12"/>
  <c r="S14" i="12"/>
  <c r="V12" i="12"/>
  <c r="R11" i="12"/>
  <c r="W9" i="12"/>
  <c r="S8" i="12"/>
  <c r="V15" i="12"/>
  <c r="R14" i="12"/>
  <c r="U12" i="12"/>
  <c r="Q11" i="12"/>
  <c r="V9" i="12"/>
  <c r="R8" i="12"/>
  <c r="T14" i="12"/>
  <c r="S11" i="12"/>
  <c r="O14" i="12"/>
  <c r="P11" i="12"/>
  <c r="Q8" i="12"/>
  <c r="O11" i="12"/>
  <c r="U8" i="12"/>
  <c r="P13" i="12"/>
  <c r="O10" i="12"/>
  <c r="U15" i="12"/>
  <c r="T12" i="12"/>
  <c r="U9" i="12"/>
  <c r="T15" i="12"/>
  <c r="W13" i="12"/>
  <c r="S12" i="12"/>
  <c r="T9" i="12"/>
  <c r="Q15" i="12"/>
  <c r="V13" i="12"/>
  <c r="R12" i="12"/>
  <c r="W10" i="12"/>
  <c r="S9" i="12"/>
  <c r="Z15" i="12"/>
  <c r="P15" i="12"/>
  <c r="U13" i="12"/>
  <c r="Q12" i="12"/>
  <c r="V10" i="12"/>
  <c r="P9" i="12"/>
  <c r="Z14" i="12"/>
  <c r="O15" i="12"/>
  <c r="T13" i="12"/>
  <c r="P12" i="12"/>
  <c r="U10" i="12"/>
  <c r="O9" i="12"/>
  <c r="Z13" i="12"/>
  <c r="W14" i="12"/>
  <c r="S13" i="12"/>
  <c r="O12" i="12"/>
  <c r="R10" i="12"/>
  <c r="W8" i="12"/>
  <c r="Z28" i="14"/>
  <c r="S28" i="14"/>
  <c r="Z15" i="14"/>
  <c r="Z11" i="14"/>
  <c r="Y9" i="14"/>
  <c r="Z8" i="14"/>
  <c r="T13" i="14"/>
  <c r="R12" i="14"/>
  <c r="P11" i="14"/>
  <c r="S13" i="14"/>
  <c r="Q12" i="14"/>
  <c r="R9" i="14"/>
  <c r="P8" i="14"/>
  <c r="Q9" i="14"/>
  <c r="M18" i="14"/>
  <c r="H25" i="14"/>
  <c r="J22" i="14"/>
  <c r="I18" i="14"/>
  <c r="L23" i="14"/>
  <c r="F21" i="14"/>
  <c r="K19" i="14"/>
  <c r="K23" i="14"/>
  <c r="H22" i="14"/>
  <c r="M20" i="14"/>
  <c r="G18" i="14"/>
  <c r="M24" i="14"/>
  <c r="J23" i="14"/>
  <c r="G22" i="14"/>
  <c r="L20" i="14"/>
  <c r="I19" i="14"/>
  <c r="F18" i="14"/>
  <c r="L24" i="14"/>
  <c r="I23" i="14"/>
  <c r="F22" i="14"/>
  <c r="K20" i="14"/>
  <c r="H19" i="14"/>
  <c r="M17" i="14"/>
  <c r="K21" i="14"/>
  <c r="M23" i="14"/>
  <c r="G21" i="14"/>
  <c r="L19" i="14"/>
  <c r="G25" i="14"/>
  <c r="I22" i="14"/>
  <c r="H18" i="14"/>
  <c r="F25" i="14"/>
  <c r="J19" i="14"/>
  <c r="K24" i="14"/>
  <c r="H23" i="14"/>
  <c r="M21" i="14"/>
  <c r="J20" i="14"/>
  <c r="G19" i="14"/>
  <c r="L17" i="14"/>
  <c r="M25" i="14"/>
  <c r="J24" i="14"/>
  <c r="G23" i="14"/>
  <c r="L21" i="14"/>
  <c r="I20" i="14"/>
  <c r="F19" i="14"/>
  <c r="K17" i="14"/>
  <c r="L25" i="14"/>
  <c r="I24" i="14"/>
  <c r="F23" i="14"/>
  <c r="H20" i="14"/>
  <c r="J17" i="14"/>
  <c r="K25" i="14"/>
  <c r="H24" i="14"/>
  <c r="M22" i="14"/>
  <c r="J21" i="14"/>
  <c r="G20" i="14"/>
  <c r="L18" i="14"/>
  <c r="I17" i="14"/>
  <c r="J25" i="14"/>
  <c r="G24" i="14"/>
  <c r="L22" i="14"/>
  <c r="I21" i="14"/>
  <c r="F20" i="14"/>
  <c r="K18" i="14"/>
  <c r="H17" i="14"/>
  <c r="I25" i="14"/>
  <c r="F24" i="14"/>
  <c r="K22" i="14"/>
  <c r="H21" i="14"/>
  <c r="M19" i="14"/>
  <c r="J18" i="14"/>
  <c r="Z10" i="12"/>
  <c r="S15" i="12"/>
  <c r="Q14" i="12"/>
  <c r="O13" i="12"/>
  <c r="V11" i="12"/>
  <c r="T10" i="12"/>
  <c r="R9" i="12"/>
  <c r="P8" i="12"/>
  <c r="R15" i="12"/>
  <c r="P14" i="12"/>
  <c r="W12" i="12"/>
  <c r="U11" i="12"/>
  <c r="S10" i="12"/>
  <c r="Q9" i="12"/>
  <c r="AF10" i="12"/>
  <c r="Y10" i="12" s="1"/>
  <c r="AF11" i="12"/>
  <c r="Y11" i="12" s="1"/>
  <c r="AF12" i="12"/>
  <c r="Y12" i="12" s="1"/>
  <c r="AF13" i="12"/>
  <c r="Y13" i="12" s="1"/>
  <c r="AF14" i="12"/>
  <c r="Y14" i="12" s="1"/>
  <c r="P28" i="17" l="1"/>
  <c r="R27" i="17"/>
  <c r="T27" i="17"/>
  <c r="T28" i="17"/>
  <c r="Q27" i="14"/>
  <c r="S27" i="17"/>
  <c r="Q28" i="17"/>
  <c r="T27" i="14"/>
  <c r="Q28" i="14"/>
  <c r="P27" i="14"/>
  <c r="W27" i="14"/>
  <c r="R28" i="14"/>
  <c r="P28" i="14"/>
  <c r="T28" i="14"/>
  <c r="U28" i="14"/>
  <c r="V28" i="14"/>
  <c r="Q28" i="12"/>
  <c r="P27" i="12"/>
  <c r="AB15" i="17"/>
  <c r="R27" i="14"/>
  <c r="W28" i="14"/>
  <c r="V28" i="12"/>
  <c r="S28" i="12"/>
  <c r="T27" i="12"/>
  <c r="Q27" i="12"/>
  <c r="W27" i="12"/>
  <c r="U28" i="12"/>
  <c r="U27" i="12"/>
  <c r="P28" i="12"/>
  <c r="T28" i="12"/>
  <c r="R28" i="12"/>
  <c r="V27" i="12"/>
  <c r="U27" i="14"/>
  <c r="S27" i="12"/>
  <c r="O28" i="12"/>
  <c r="W28" i="12"/>
  <c r="R27" i="12"/>
  <c r="V27" i="17"/>
  <c r="O27" i="17"/>
  <c r="S28" i="17"/>
  <c r="Q27" i="17"/>
  <c r="S27" i="14"/>
  <c r="O28" i="14"/>
  <c r="V27" i="14"/>
  <c r="V22" i="19"/>
  <c r="J29" i="19"/>
  <c r="K29" i="19"/>
  <c r="K30" i="19"/>
  <c r="J30" i="19"/>
  <c r="I30" i="19"/>
  <c r="V21" i="19"/>
  <c r="X21" i="19"/>
  <c r="X23" i="19"/>
  <c r="W22" i="19"/>
  <c r="X22" i="19"/>
  <c r="V23" i="19"/>
  <c r="W23" i="19"/>
  <c r="F25" i="19"/>
  <c r="E58" i="19" s="1" a="1"/>
  <c r="F26" i="19"/>
  <c r="G25" i="19"/>
  <c r="E26" i="19"/>
  <c r="G26" i="19"/>
  <c r="E27" i="19"/>
  <c r="F27" i="19"/>
  <c r="G27" i="19"/>
  <c r="J21" i="19"/>
  <c r="K21" i="19"/>
  <c r="J23" i="19"/>
  <c r="K23" i="19"/>
  <c r="J22" i="19"/>
  <c r="K22" i="19"/>
  <c r="I22" i="19"/>
  <c r="I23" i="19"/>
  <c r="AB9" i="17"/>
  <c r="AB13" i="17"/>
  <c r="AB11" i="17"/>
  <c r="AB14" i="17"/>
  <c r="AB12" i="17"/>
  <c r="AB10" i="17"/>
  <c r="O40" i="17" a="1"/>
  <c r="F31" i="17" a="1"/>
  <c r="R25" i="19" l="1" a="1"/>
  <c r="E58" i="19"/>
  <c r="E59" i="19"/>
  <c r="F59" i="19"/>
  <c r="G59" i="19"/>
  <c r="F60" i="19"/>
  <c r="G60" i="19"/>
  <c r="E60" i="19"/>
  <c r="G58" i="19"/>
  <c r="F58" i="19"/>
  <c r="I62" i="19" a="1"/>
  <c r="I62" i="19" s="1"/>
  <c r="V54" i="19" a="1"/>
  <c r="E35" i="19" a="1"/>
  <c r="G35" i="19" s="1"/>
  <c r="I54" i="19" a="1"/>
  <c r="E43" i="19" a="1"/>
  <c r="F44" i="19" s="1"/>
  <c r="R48" i="17"/>
  <c r="P47" i="17"/>
  <c r="W45" i="17"/>
  <c r="U44" i="17"/>
  <c r="S43" i="17"/>
  <c r="Q42" i="17"/>
  <c r="O41" i="17"/>
  <c r="W47" i="17"/>
  <c r="O43" i="17"/>
  <c r="Q48" i="17"/>
  <c r="O47" i="17"/>
  <c r="V45" i="17"/>
  <c r="T44" i="17"/>
  <c r="R43" i="17"/>
  <c r="P42" i="17"/>
  <c r="W40" i="17"/>
  <c r="U46" i="17"/>
  <c r="T40" i="17"/>
  <c r="P48" i="17"/>
  <c r="W46" i="17"/>
  <c r="U45" i="17"/>
  <c r="S44" i="17"/>
  <c r="Q43" i="17"/>
  <c r="O42" i="17"/>
  <c r="V40" i="17"/>
  <c r="S45" i="17"/>
  <c r="V41" i="17"/>
  <c r="T46" i="17"/>
  <c r="P44" i="17"/>
  <c r="U41" i="17"/>
  <c r="O48" i="17"/>
  <c r="V46" i="17"/>
  <c r="T45" i="17"/>
  <c r="R44" i="17"/>
  <c r="P43" i="17"/>
  <c r="W41" i="17"/>
  <c r="U40" i="17"/>
  <c r="Q44" i="17"/>
  <c r="V47" i="17"/>
  <c r="R45" i="17"/>
  <c r="W42" i="17"/>
  <c r="S40" i="17"/>
  <c r="S48" i="17"/>
  <c r="Q47" i="17"/>
  <c r="O46" i="17"/>
  <c r="V44" i="17"/>
  <c r="T43" i="17"/>
  <c r="R42" i="17"/>
  <c r="P41" i="17"/>
  <c r="T47" i="17"/>
  <c r="O44" i="17"/>
  <c r="Q41" i="17"/>
  <c r="T42" i="17"/>
  <c r="P45" i="17"/>
  <c r="S47" i="17"/>
  <c r="W43" i="17"/>
  <c r="R40" i="17"/>
  <c r="R47" i="17"/>
  <c r="V43" i="17"/>
  <c r="Q40" i="17"/>
  <c r="R46" i="17"/>
  <c r="V42" i="17"/>
  <c r="O40" i="17"/>
  <c r="Q46" i="17"/>
  <c r="U42" i="17"/>
  <c r="V48" i="17"/>
  <c r="S42" i="17"/>
  <c r="T48" i="17"/>
  <c r="S41" i="17"/>
  <c r="W48" i="17"/>
  <c r="P46" i="17"/>
  <c r="O45" i="17"/>
  <c r="S46" i="17"/>
  <c r="U43" i="17"/>
  <c r="P40" i="17"/>
  <c r="Q45" i="17"/>
  <c r="U48" i="17"/>
  <c r="T41" i="17"/>
  <c r="U47" i="17"/>
  <c r="W44" i="17"/>
  <c r="R41" i="17"/>
  <c r="K37" i="17"/>
  <c r="H36" i="17"/>
  <c r="M34" i="17"/>
  <c r="J33" i="17"/>
  <c r="G32" i="17"/>
  <c r="J38" i="17"/>
  <c r="F33" i="17"/>
  <c r="M38" i="17"/>
  <c r="J37" i="17"/>
  <c r="G36" i="17"/>
  <c r="L34" i="17"/>
  <c r="I33" i="17"/>
  <c r="F32" i="17"/>
  <c r="I38" i="17"/>
  <c r="L38" i="17"/>
  <c r="I37" i="17"/>
  <c r="F36" i="17"/>
  <c r="K34" i="17"/>
  <c r="H33" i="17"/>
  <c r="M31" i="17"/>
  <c r="L35" i="17"/>
  <c r="I34" i="17"/>
  <c r="K38" i="17"/>
  <c r="H37" i="17"/>
  <c r="M35" i="17"/>
  <c r="J34" i="17"/>
  <c r="G33" i="17"/>
  <c r="L31" i="17"/>
  <c r="G37" i="17"/>
  <c r="K31" i="17"/>
  <c r="F37" i="17"/>
  <c r="H34" i="17"/>
  <c r="L37" i="17"/>
  <c r="I36" i="17"/>
  <c r="F35" i="17"/>
  <c r="K33" i="17"/>
  <c r="H32" i="17"/>
  <c r="L36" i="17"/>
  <c r="L33" i="17"/>
  <c r="I35" i="17"/>
  <c r="J31" i="17"/>
  <c r="G34" i="17"/>
  <c r="F34" i="17"/>
  <c r="K36" i="17"/>
  <c r="M32" i="17"/>
  <c r="J36" i="17"/>
  <c r="J35" i="17"/>
  <c r="J32" i="17"/>
  <c r="I32" i="17"/>
  <c r="I31" i="17"/>
  <c r="M37" i="17"/>
  <c r="L32" i="17"/>
  <c r="H38" i="17"/>
  <c r="G38" i="17"/>
  <c r="G35" i="17"/>
  <c r="F38" i="17"/>
  <c r="G31" i="17"/>
  <c r="K35" i="17"/>
  <c r="K32" i="17"/>
  <c r="H35" i="17"/>
  <c r="H31" i="17"/>
  <c r="M36" i="17"/>
  <c r="M33" i="17"/>
  <c r="F31" i="17"/>
  <c r="R25" i="19" l="1"/>
  <c r="R26" i="19"/>
  <c r="S26" i="19"/>
  <c r="T26" i="19"/>
  <c r="R27" i="19"/>
  <c r="S27" i="19"/>
  <c r="T27" i="19"/>
  <c r="T25" i="19"/>
  <c r="S25" i="19"/>
  <c r="K62" i="19"/>
  <c r="J63" i="19"/>
  <c r="I63" i="19"/>
  <c r="K63" i="19"/>
  <c r="J62" i="19"/>
  <c r="G37" i="19"/>
  <c r="G36" i="19"/>
  <c r="F36" i="19"/>
  <c r="F37" i="19"/>
  <c r="E36" i="19"/>
  <c r="E37" i="19"/>
  <c r="E35" i="19"/>
  <c r="G43" i="19"/>
  <c r="E44" i="19"/>
  <c r="I54" i="19"/>
  <c r="I56" i="19"/>
  <c r="I55" i="19"/>
  <c r="J55" i="19"/>
  <c r="J56" i="19"/>
  <c r="K56" i="19"/>
  <c r="K55" i="19"/>
  <c r="J54" i="19"/>
  <c r="K54" i="19"/>
  <c r="G44" i="19"/>
  <c r="F45" i="19"/>
  <c r="F43" i="19"/>
  <c r="E45" i="19"/>
  <c r="E43" i="19"/>
  <c r="F35" i="19"/>
  <c r="V54" i="19"/>
  <c r="V55" i="19"/>
  <c r="W56" i="19"/>
  <c r="W55" i="19"/>
  <c r="V56" i="19"/>
  <c r="X56" i="19"/>
  <c r="X55" i="19"/>
  <c r="X54" i="19"/>
  <c r="W54" i="19"/>
  <c r="G45" i="19"/>
  <c r="O61" i="17" a="1"/>
  <c r="AB31" i="17" a="1"/>
  <c r="F55" i="17" a="1"/>
  <c r="O68" i="19" l="1" a="1"/>
  <c r="E39" i="19" a="1"/>
  <c r="E40" i="19" s="1"/>
  <c r="AB68" i="19" a="1"/>
  <c r="AB68" i="19" s="1"/>
  <c r="E47" i="19" a="1"/>
  <c r="F47" i="19" s="1"/>
  <c r="R58" i="19" a="1"/>
  <c r="M55" i="17"/>
  <c r="H55" i="17"/>
  <c r="AN55" i="17" s="1"/>
  <c r="L55" i="17"/>
  <c r="AO55" i="17" s="1"/>
  <c r="K55" i="17"/>
  <c r="L56" i="17"/>
  <c r="AO56" i="17" s="1"/>
  <c r="I55" i="17"/>
  <c r="K56" i="17"/>
  <c r="M56" i="17"/>
  <c r="J55" i="17"/>
  <c r="F56" i="17"/>
  <c r="I56" i="17"/>
  <c r="G55" i="17"/>
  <c r="J56" i="17"/>
  <c r="G56" i="17"/>
  <c r="F55" i="17"/>
  <c r="H56" i="17"/>
  <c r="AN56" i="17" s="1"/>
  <c r="AB34" i="17"/>
  <c r="AB33" i="17"/>
  <c r="AB32" i="17"/>
  <c r="AB31" i="17"/>
  <c r="AB35" i="17"/>
  <c r="AB37" i="17"/>
  <c r="AB38" i="17"/>
  <c r="AB36" i="17"/>
  <c r="P62" i="17"/>
  <c r="W62" i="17"/>
  <c r="V62" i="17"/>
  <c r="AP62" i="17" s="1"/>
  <c r="O62" i="17"/>
  <c r="T61" i="17"/>
  <c r="W61" i="17"/>
  <c r="U61" i="17"/>
  <c r="V61" i="17"/>
  <c r="AP61" i="17" s="1"/>
  <c r="Q62" i="17"/>
  <c r="AN62" i="17" s="1"/>
  <c r="O61" i="17"/>
  <c r="Q61" i="17"/>
  <c r="AN61" i="17" s="1"/>
  <c r="P61" i="17"/>
  <c r="S62" i="17"/>
  <c r="S61" i="17"/>
  <c r="U62" i="17"/>
  <c r="T62" i="17"/>
  <c r="R62" i="17"/>
  <c r="AO62" i="17" s="1"/>
  <c r="R61" i="17"/>
  <c r="AO61" i="17" s="1"/>
  <c r="O69" i="19" l="1"/>
  <c r="O68" i="19"/>
  <c r="O70" i="19"/>
  <c r="G39" i="19"/>
  <c r="F40" i="19"/>
  <c r="F39" i="19"/>
  <c r="E39" i="19"/>
  <c r="G40" i="19"/>
  <c r="AB69" i="19"/>
  <c r="AB70" i="19"/>
  <c r="E48" i="19"/>
  <c r="E47" i="19"/>
  <c r="F48" i="19"/>
  <c r="G48" i="19"/>
  <c r="G47" i="19"/>
  <c r="R59" i="19"/>
  <c r="R58" i="19"/>
  <c r="R60" i="19"/>
  <c r="T58" i="19"/>
  <c r="T60" i="19"/>
  <c r="S58" i="19"/>
  <c r="S60" i="19"/>
  <c r="S59" i="19"/>
  <c r="T59" i="19"/>
  <c r="AB40" i="17" a="1"/>
  <c r="F40" i="17" a="1"/>
  <c r="E72" i="19" l="1" a="1"/>
  <c r="O72" i="19" a="1"/>
  <c r="AB72" i="19" a="1"/>
  <c r="AB72" i="19" s="1"/>
  <c r="M48" i="17"/>
  <c r="J47" i="17"/>
  <c r="G46" i="17"/>
  <c r="L44" i="17"/>
  <c r="I43" i="17"/>
  <c r="F42" i="17"/>
  <c r="K40" i="17"/>
  <c r="F47" i="17"/>
  <c r="G40" i="17"/>
  <c r="L48" i="17"/>
  <c r="I47" i="17"/>
  <c r="F46" i="17"/>
  <c r="K44" i="17"/>
  <c r="H43" i="17"/>
  <c r="M41" i="17"/>
  <c r="J40" i="17"/>
  <c r="H44" i="17"/>
  <c r="I41" i="17"/>
  <c r="K48" i="17"/>
  <c r="H47" i="17"/>
  <c r="M45" i="17"/>
  <c r="J44" i="17"/>
  <c r="G43" i="17"/>
  <c r="L41" i="17"/>
  <c r="I40" i="17"/>
  <c r="I48" i="17"/>
  <c r="K45" i="17"/>
  <c r="J41" i="17"/>
  <c r="H48" i="17"/>
  <c r="M46" i="17"/>
  <c r="G44" i="17"/>
  <c r="F40" i="17"/>
  <c r="J48" i="17"/>
  <c r="G47" i="17"/>
  <c r="L45" i="17"/>
  <c r="I44" i="17"/>
  <c r="F43" i="17"/>
  <c r="K41" i="17"/>
  <c r="H40" i="17"/>
  <c r="M42" i="17"/>
  <c r="J45" i="17"/>
  <c r="L42" i="17"/>
  <c r="K47" i="17"/>
  <c r="H46" i="17"/>
  <c r="M44" i="17"/>
  <c r="J43" i="17"/>
  <c r="G42" i="17"/>
  <c r="L40" i="17"/>
  <c r="J46" i="17"/>
  <c r="J42" i="17"/>
  <c r="M40" i="17"/>
  <c r="L46" i="17"/>
  <c r="I46" i="17"/>
  <c r="I42" i="17"/>
  <c r="I45" i="17"/>
  <c r="H42" i="17"/>
  <c r="G45" i="17"/>
  <c r="G41" i="17"/>
  <c r="F45" i="17"/>
  <c r="F48" i="17"/>
  <c r="M43" i="17"/>
  <c r="F44" i="17"/>
  <c r="M47" i="17"/>
  <c r="L47" i="17"/>
  <c r="K43" i="17"/>
  <c r="H45" i="17"/>
  <c r="H41" i="17"/>
  <c r="G48" i="17"/>
  <c r="F41" i="17"/>
  <c r="L43" i="17"/>
  <c r="K46" i="17"/>
  <c r="K42" i="17"/>
  <c r="AB44" i="17"/>
  <c r="AB43" i="17"/>
  <c r="AB42" i="17"/>
  <c r="AB40" i="17"/>
  <c r="AB41" i="17"/>
  <c r="AB45" i="17"/>
  <c r="AB47" i="17"/>
  <c r="AB46" i="17"/>
  <c r="AB48" i="17"/>
  <c r="F72" i="19" l="1"/>
  <c r="E72" i="19"/>
  <c r="E73" i="19"/>
  <c r="G73" i="19"/>
  <c r="E74" i="19"/>
  <c r="F74" i="19"/>
  <c r="G74" i="19"/>
  <c r="F73" i="19"/>
  <c r="G72" i="19"/>
  <c r="O73" i="19"/>
  <c r="O72" i="19"/>
  <c r="O74" i="19"/>
  <c r="AB73" i="19"/>
  <c r="AB74" i="19"/>
  <c r="O31" i="17" a="1"/>
  <c r="O50" i="17" a="1"/>
  <c r="V68" i="19" l="1" a="1"/>
  <c r="V68" i="19" s="1"/>
  <c r="I68" i="19" a="1"/>
  <c r="V76" i="19" a="1"/>
  <c r="V77" i="19" s="1"/>
  <c r="R72" i="19" a="1"/>
  <c r="T74" i="19" s="1"/>
  <c r="I76" i="19" a="1"/>
  <c r="V51" i="17"/>
  <c r="T50" i="17"/>
  <c r="U51" i="17"/>
  <c r="S50" i="17"/>
  <c r="R51" i="17"/>
  <c r="T51" i="17"/>
  <c r="R50" i="17"/>
  <c r="O50" i="17"/>
  <c r="S51" i="17"/>
  <c r="Q50" i="17"/>
  <c r="Q51" i="17"/>
  <c r="P50" i="17"/>
  <c r="W51" i="17"/>
  <c r="U50" i="17"/>
  <c r="W50" i="17"/>
  <c r="V50" i="17"/>
  <c r="P51" i="17"/>
  <c r="O51" i="17"/>
  <c r="Q38" i="17"/>
  <c r="O37" i="17"/>
  <c r="V35" i="17"/>
  <c r="T34" i="17"/>
  <c r="R33" i="17"/>
  <c r="P32" i="17"/>
  <c r="R35" i="17"/>
  <c r="P38" i="17"/>
  <c r="W36" i="17"/>
  <c r="U35" i="17"/>
  <c r="S34" i="17"/>
  <c r="Q33" i="17"/>
  <c r="O32" i="17"/>
  <c r="O38" i="17"/>
  <c r="V36" i="17"/>
  <c r="T35" i="17"/>
  <c r="R34" i="17"/>
  <c r="P33" i="17"/>
  <c r="W31" i="17"/>
  <c r="V37" i="17"/>
  <c r="P34" i="17"/>
  <c r="U31" i="17"/>
  <c r="S36" i="17"/>
  <c r="O34" i="17"/>
  <c r="T31" i="17"/>
  <c r="W37" i="17"/>
  <c r="U36" i="17"/>
  <c r="S35" i="17"/>
  <c r="Q34" i="17"/>
  <c r="O33" i="17"/>
  <c r="V31" i="17"/>
  <c r="T36" i="17"/>
  <c r="W32" i="17"/>
  <c r="W38" i="17"/>
  <c r="U37" i="17"/>
  <c r="Q35" i="17"/>
  <c r="V32" i="17"/>
  <c r="R38" i="17"/>
  <c r="P37" i="17"/>
  <c r="W35" i="17"/>
  <c r="U34" i="17"/>
  <c r="S33" i="17"/>
  <c r="Q32" i="17"/>
  <c r="O31" i="17"/>
  <c r="V38" i="17"/>
  <c r="O36" i="17"/>
  <c r="S32" i="17"/>
  <c r="V33" i="17"/>
  <c r="Q36" i="17"/>
  <c r="U38" i="17"/>
  <c r="P35" i="17"/>
  <c r="R32" i="17"/>
  <c r="T38" i="17"/>
  <c r="O35" i="17"/>
  <c r="S31" i="17"/>
  <c r="T37" i="17"/>
  <c r="V34" i="17"/>
  <c r="Q31" i="17"/>
  <c r="W33" i="17"/>
  <c r="U33" i="17"/>
  <c r="R36" i="17"/>
  <c r="R37" i="17"/>
  <c r="Q37" i="17"/>
  <c r="U32" i="17"/>
  <c r="S38" i="17"/>
  <c r="W34" i="17"/>
  <c r="R31" i="17"/>
  <c r="S37" i="17"/>
  <c r="P31" i="17"/>
  <c r="T33" i="17"/>
  <c r="P36" i="17"/>
  <c r="T32" i="17"/>
  <c r="H34" i="15"/>
  <c r="G34" i="15"/>
  <c r="F34" i="15"/>
  <c r="E34" i="15"/>
  <c r="E46" i="15" l="1" a="1"/>
  <c r="E46" i="15" s="1"/>
  <c r="V39" i="15" a="1"/>
  <c r="W68" i="19"/>
  <c r="X68" i="19"/>
  <c r="X70" i="19"/>
  <c r="V70" i="19"/>
  <c r="V69" i="19"/>
  <c r="W70" i="19"/>
  <c r="W69" i="19"/>
  <c r="X69" i="19"/>
  <c r="I68" i="19"/>
  <c r="J70" i="19"/>
  <c r="J68" i="19"/>
  <c r="K68" i="19"/>
  <c r="K70" i="19"/>
  <c r="K69" i="19"/>
  <c r="I69" i="19"/>
  <c r="I70" i="19"/>
  <c r="J69" i="19"/>
  <c r="X77" i="19"/>
  <c r="W77" i="19"/>
  <c r="S72" i="19"/>
  <c r="R72" i="19"/>
  <c r="R73" i="19"/>
  <c r="R74" i="19"/>
  <c r="S74" i="19"/>
  <c r="X76" i="19"/>
  <c r="W76" i="19"/>
  <c r="V76" i="19"/>
  <c r="T72" i="19"/>
  <c r="T73" i="19"/>
  <c r="S73" i="19"/>
  <c r="J76" i="19"/>
  <c r="I76" i="19"/>
  <c r="I77" i="19"/>
  <c r="K77" i="19"/>
  <c r="K76" i="19"/>
  <c r="J77" i="19"/>
  <c r="AB51" i="17"/>
  <c r="AB77" i="19" l="1"/>
  <c r="H47" i="15"/>
  <c r="E47" i="15"/>
  <c r="H50" i="15"/>
  <c r="J48" i="15"/>
  <c r="I46" i="15"/>
  <c r="E49" i="15"/>
  <c r="H49" i="15"/>
  <c r="I49" i="15"/>
  <c r="J47" i="15"/>
  <c r="J46" i="15"/>
  <c r="H46" i="15"/>
  <c r="G50" i="15"/>
  <c r="F46" i="15"/>
  <c r="G49" i="15"/>
  <c r="F48" i="15"/>
  <c r="J49" i="15"/>
  <c r="I50" i="15"/>
  <c r="J50" i="15"/>
  <c r="G48" i="15"/>
  <c r="E48" i="15"/>
  <c r="I48" i="15"/>
  <c r="G47" i="15"/>
  <c r="F50" i="15"/>
  <c r="H48" i="15"/>
  <c r="F49" i="15"/>
  <c r="I47" i="15"/>
  <c r="E50" i="15"/>
  <c r="F47" i="15"/>
  <c r="G46" i="15"/>
  <c r="V39" i="15"/>
  <c r="V43" i="15"/>
  <c r="V42" i="15"/>
  <c r="Z43" i="15"/>
  <c r="Y40" i="15"/>
  <c r="X41" i="15"/>
  <c r="W39" i="15"/>
  <c r="Z40" i="15"/>
  <c r="Z41" i="15"/>
  <c r="X43" i="15"/>
  <c r="Y42" i="15"/>
  <c r="Y44" i="15"/>
  <c r="Y39" i="15"/>
  <c r="W42" i="15"/>
  <c r="Z39" i="15"/>
  <c r="Z44" i="15"/>
  <c r="Y41" i="15"/>
  <c r="W41" i="15"/>
  <c r="X40" i="15"/>
  <c r="W40" i="15"/>
  <c r="X39" i="15"/>
  <c r="W43" i="15"/>
  <c r="Z42" i="15"/>
  <c r="Y43" i="15"/>
  <c r="X42" i="15"/>
  <c r="X44" i="15"/>
  <c r="V40" i="15"/>
  <c r="V41" i="15"/>
  <c r="W44" i="15"/>
  <c r="V44" i="15"/>
  <c r="AB76" i="19"/>
  <c r="O76" i="19"/>
  <c r="O77" i="19"/>
  <c r="V69" i="15" l="1" a="1"/>
  <c r="V69" i="15" s="1"/>
  <c r="AB63" i="15" a="1"/>
  <c r="AB63" i="15" s="1"/>
  <c r="AH63" i="15" s="1" a="1"/>
  <c r="AH63" i="15" s="1"/>
  <c r="K69" i="15" a="1"/>
  <c r="E69" i="15" a="1"/>
  <c r="E69" i="15" s="1"/>
  <c r="E63" i="15" a="1"/>
  <c r="O79" i="19"/>
  <c r="O78" i="19"/>
  <c r="Y14" i="14" a="1"/>
  <c r="Y14" i="14" s="1"/>
  <c r="O14" i="14" a="1"/>
  <c r="V14" i="14" s="1"/>
  <c r="AB11" i="12"/>
  <c r="AB10" i="12"/>
  <c r="AB15" i="12"/>
  <c r="AB14" i="12"/>
  <c r="AB13" i="12"/>
  <c r="AB12" i="12"/>
  <c r="AB15" i="14"/>
  <c r="AB13" i="14"/>
  <c r="AB12" i="14"/>
  <c r="AB11" i="14"/>
  <c r="AB10" i="14"/>
  <c r="O40" i="12" a="1"/>
  <c r="O48" i="12" s="1"/>
  <c r="F31" i="12" a="1"/>
  <c r="F38" i="12" s="1"/>
  <c r="O63" i="11" a="1"/>
  <c r="O63" i="11" s="1"/>
  <c r="AB10" i="11"/>
  <c r="AB11" i="11"/>
  <c r="AB12" i="11"/>
  <c r="AB13" i="11"/>
  <c r="AB14" i="11"/>
  <c r="AB15" i="11"/>
  <c r="F31" i="11" a="1"/>
  <c r="F31" i="11" s="1"/>
  <c r="E63" i="15" l="1"/>
  <c r="K63" i="15" s="1" a="1"/>
  <c r="K63" i="15" s="1"/>
  <c r="E88" i="15" a="1"/>
  <c r="E88" i="15" s="1"/>
  <c r="K69" i="15"/>
  <c r="L88" i="15" a="1"/>
  <c r="L88" i="15" s="1"/>
  <c r="W14" i="14"/>
  <c r="Z14" i="14"/>
  <c r="AB14" i="14" s="1"/>
  <c r="O14" i="14"/>
  <c r="P14" i="14"/>
  <c r="S14" i="14"/>
  <c r="T14" i="14"/>
  <c r="U14" i="14"/>
  <c r="Q14" i="14"/>
  <c r="R14" i="14"/>
  <c r="K35" i="12"/>
  <c r="M36" i="12"/>
  <c r="F37" i="12"/>
  <c r="L32" i="12"/>
  <c r="W40" i="12"/>
  <c r="M32" i="12"/>
  <c r="P42" i="12"/>
  <c r="G34" i="12"/>
  <c r="R43" i="12"/>
  <c r="T44" i="12"/>
  <c r="H38" i="12"/>
  <c r="I31" i="12"/>
  <c r="I38" i="12"/>
  <c r="J31" i="12"/>
  <c r="H34" i="12"/>
  <c r="J35" i="12"/>
  <c r="V45" i="12"/>
  <c r="O47" i="12"/>
  <c r="Q48" i="12"/>
  <c r="T43" i="12"/>
  <c r="O46" i="12"/>
  <c r="Q47" i="12"/>
  <c r="G33" i="12"/>
  <c r="H37" i="12"/>
  <c r="Q41" i="12"/>
  <c r="P46" i="12"/>
  <c r="F32" i="12"/>
  <c r="G36" i="12"/>
  <c r="H31" i="12"/>
  <c r="K32" i="12"/>
  <c r="F34" i="12"/>
  <c r="I35" i="12"/>
  <c r="L36" i="12"/>
  <c r="G38" i="12"/>
  <c r="V40" i="12"/>
  <c r="O42" i="12"/>
  <c r="Q43" i="12"/>
  <c r="S44" i="12"/>
  <c r="U45" i="12"/>
  <c r="W46" i="12"/>
  <c r="P48" i="12"/>
  <c r="P41" i="12"/>
  <c r="S48" i="12"/>
  <c r="J34" i="12"/>
  <c r="K38" i="12"/>
  <c r="M31" i="12"/>
  <c r="H33" i="12"/>
  <c r="K34" i="12"/>
  <c r="F36" i="12"/>
  <c r="I37" i="12"/>
  <c r="L38" i="12"/>
  <c r="P40" i="12"/>
  <c r="R41" i="12"/>
  <c r="T42" i="12"/>
  <c r="V43" i="12"/>
  <c r="O45" i="12"/>
  <c r="Q46" i="12"/>
  <c r="S47" i="12"/>
  <c r="U48" i="12"/>
  <c r="O41" i="12"/>
  <c r="Q42" i="12"/>
  <c r="S43" i="12"/>
  <c r="U44" i="12"/>
  <c r="W45" i="12"/>
  <c r="P47" i="12"/>
  <c r="R48" i="12"/>
  <c r="K31" i="12"/>
  <c r="F33" i="12"/>
  <c r="I34" i="12"/>
  <c r="L35" i="12"/>
  <c r="G37" i="12"/>
  <c r="J38" i="12"/>
  <c r="R42" i="12"/>
  <c r="V44" i="12"/>
  <c r="L31" i="12"/>
  <c r="M35" i="12"/>
  <c r="U43" i="12"/>
  <c r="T48" i="12"/>
  <c r="L34" i="12"/>
  <c r="M38" i="12"/>
  <c r="Q40" i="12"/>
  <c r="G32" i="12"/>
  <c r="J33" i="12"/>
  <c r="M34" i="12"/>
  <c r="H36" i="12"/>
  <c r="K37" i="12"/>
  <c r="R40" i="12"/>
  <c r="T41" i="12"/>
  <c r="V42" i="12"/>
  <c r="O44" i="12"/>
  <c r="Q45" i="12"/>
  <c r="S46" i="12"/>
  <c r="U47" i="12"/>
  <c r="W48" i="12"/>
  <c r="O40" i="12"/>
  <c r="S42" i="12"/>
  <c r="W44" i="12"/>
  <c r="R47" i="12"/>
  <c r="I33" i="12"/>
  <c r="J37" i="12"/>
  <c r="S41" i="12"/>
  <c r="U42" i="12"/>
  <c r="W43" i="12"/>
  <c r="P45" i="12"/>
  <c r="R46" i="12"/>
  <c r="T47" i="12"/>
  <c r="V48" i="12"/>
  <c r="F31" i="12"/>
  <c r="I32" i="12"/>
  <c r="L33" i="12"/>
  <c r="G35" i="12"/>
  <c r="J36" i="12"/>
  <c r="M37" i="12"/>
  <c r="T40" i="12"/>
  <c r="V41" i="12"/>
  <c r="O43" i="12"/>
  <c r="Q44" i="12"/>
  <c r="S45" i="12"/>
  <c r="U46" i="12"/>
  <c r="W47" i="12"/>
  <c r="H32" i="12"/>
  <c r="K33" i="12"/>
  <c r="F35" i="12"/>
  <c r="I36" i="12"/>
  <c r="L37" i="12"/>
  <c r="S40" i="12"/>
  <c r="U41" i="12"/>
  <c r="W42" i="12"/>
  <c r="P44" i="12"/>
  <c r="R45" i="12"/>
  <c r="T46" i="12"/>
  <c r="V47" i="12"/>
  <c r="G31" i="12"/>
  <c r="J32" i="12"/>
  <c r="M33" i="12"/>
  <c r="H35" i="12"/>
  <c r="K36" i="12"/>
  <c r="U40" i="12"/>
  <c r="W41" i="12"/>
  <c r="P43" i="12"/>
  <c r="R44" i="12"/>
  <c r="T45" i="12"/>
  <c r="V46" i="12"/>
  <c r="P63" i="11"/>
  <c r="S71" i="11"/>
  <c r="Q70" i="11"/>
  <c r="O69" i="11"/>
  <c r="V67" i="11"/>
  <c r="T66" i="11"/>
  <c r="R65" i="11"/>
  <c r="P64" i="11"/>
  <c r="R71" i="11"/>
  <c r="P70" i="11"/>
  <c r="W68" i="11"/>
  <c r="U67" i="11"/>
  <c r="S66" i="11"/>
  <c r="Q65" i="11"/>
  <c r="O64" i="11"/>
  <c r="Q71" i="11"/>
  <c r="O70" i="11"/>
  <c r="V68" i="11"/>
  <c r="T67" i="11"/>
  <c r="R66" i="11"/>
  <c r="P65" i="11"/>
  <c r="W63" i="11"/>
  <c r="P71" i="11"/>
  <c r="W69" i="11"/>
  <c r="U68" i="11"/>
  <c r="S67" i="11"/>
  <c r="Q66" i="11"/>
  <c r="O65" i="11"/>
  <c r="V63" i="11"/>
  <c r="O71" i="11"/>
  <c r="V69" i="11"/>
  <c r="T68" i="11"/>
  <c r="R67" i="11"/>
  <c r="P66" i="11"/>
  <c r="W64" i="11"/>
  <c r="U63" i="11"/>
  <c r="W70" i="11"/>
  <c r="U69" i="11"/>
  <c r="S68" i="11"/>
  <c r="Q67" i="11"/>
  <c r="O66" i="11"/>
  <c r="V64" i="11"/>
  <c r="T63" i="11"/>
  <c r="V70" i="11"/>
  <c r="T69" i="11"/>
  <c r="R68" i="11"/>
  <c r="P67" i="11"/>
  <c r="W65" i="11"/>
  <c r="U64" i="11"/>
  <c r="S63" i="11"/>
  <c r="W71" i="11"/>
  <c r="U70" i="11"/>
  <c r="S69" i="11"/>
  <c r="Q68" i="11"/>
  <c r="O67" i="11"/>
  <c r="V65" i="11"/>
  <c r="T64" i="11"/>
  <c r="R63" i="11"/>
  <c r="V71" i="11"/>
  <c r="T70" i="11"/>
  <c r="R69" i="11"/>
  <c r="P68" i="11"/>
  <c r="W66" i="11"/>
  <c r="U65" i="11"/>
  <c r="S64" i="11"/>
  <c r="Q63" i="11"/>
  <c r="U71" i="11"/>
  <c r="S70" i="11"/>
  <c r="Q69" i="11"/>
  <c r="O68" i="11"/>
  <c r="V66" i="11"/>
  <c r="T65" i="11"/>
  <c r="R64" i="11"/>
  <c r="T71" i="11"/>
  <c r="R70" i="11"/>
  <c r="P69" i="11"/>
  <c r="W67" i="11"/>
  <c r="U66" i="11"/>
  <c r="S65" i="11"/>
  <c r="Q64" i="11"/>
  <c r="I36" i="11"/>
  <c r="F35" i="11"/>
  <c r="H32" i="11"/>
  <c r="G31" i="11"/>
  <c r="L37" i="11"/>
  <c r="K33" i="11"/>
  <c r="K37" i="11"/>
  <c r="H36" i="11"/>
  <c r="M34" i="11"/>
  <c r="J33" i="11"/>
  <c r="G32" i="11"/>
  <c r="M38" i="11"/>
  <c r="J37" i="11"/>
  <c r="G36" i="11"/>
  <c r="L34" i="11"/>
  <c r="I33" i="11"/>
  <c r="F32" i="11"/>
  <c r="L38" i="11"/>
  <c r="I37" i="11"/>
  <c r="F36" i="11"/>
  <c r="K34" i="11"/>
  <c r="H33" i="11"/>
  <c r="M31" i="11"/>
  <c r="K38" i="11"/>
  <c r="H37" i="11"/>
  <c r="M35" i="11"/>
  <c r="J34" i="11"/>
  <c r="G33" i="11"/>
  <c r="L31" i="11"/>
  <c r="J38" i="11"/>
  <c r="G37" i="11"/>
  <c r="L35" i="11"/>
  <c r="I34" i="11"/>
  <c r="F33" i="11"/>
  <c r="K31" i="11"/>
  <c r="I38" i="11"/>
  <c r="F37" i="11"/>
  <c r="K35" i="11"/>
  <c r="H34" i="11"/>
  <c r="M32" i="11"/>
  <c r="J31" i="11"/>
  <c r="H38" i="11"/>
  <c r="M36" i="11"/>
  <c r="J35" i="11"/>
  <c r="G34" i="11"/>
  <c r="L32" i="11"/>
  <c r="I31" i="11"/>
  <c r="G38" i="11"/>
  <c r="L36" i="11"/>
  <c r="I35" i="11"/>
  <c r="F34" i="11"/>
  <c r="K32" i="11"/>
  <c r="H31" i="11"/>
  <c r="F38" i="11"/>
  <c r="K36" i="11"/>
  <c r="H35" i="11"/>
  <c r="M33" i="11"/>
  <c r="J32" i="11"/>
  <c r="M37" i="11"/>
  <c r="J36" i="11"/>
  <c r="G35" i="11"/>
  <c r="L33" i="11"/>
  <c r="I32" i="11"/>
  <c r="F31" i="14" l="1" a="1"/>
  <c r="F38" i="14" s="1"/>
  <c r="O40" i="14" a="1"/>
  <c r="V47" i="14" s="1"/>
  <c r="O61" i="12" a="1"/>
  <c r="R62" i="12" s="1"/>
  <c r="AG62" i="12" s="1"/>
  <c r="F55" i="12" a="1"/>
  <c r="O73" i="11" a="1"/>
  <c r="O73" i="11" s="1"/>
  <c r="F55" i="11" a="1"/>
  <c r="F55" i="11" s="1"/>
  <c r="I32" i="14" l="1"/>
  <c r="K35" i="14"/>
  <c r="H34" i="14"/>
  <c r="M37" i="14"/>
  <c r="I35" i="14"/>
  <c r="H31" i="14"/>
  <c r="K38" i="14"/>
  <c r="F37" i="14"/>
  <c r="M38" i="14"/>
  <c r="F36" i="14"/>
  <c r="H33" i="14"/>
  <c r="L33" i="14"/>
  <c r="M33" i="14"/>
  <c r="K34" i="14"/>
  <c r="M34" i="14"/>
  <c r="G31" i="14"/>
  <c r="K31" i="14"/>
  <c r="G36" i="14"/>
  <c r="G37" i="14"/>
  <c r="G38" i="14"/>
  <c r="J33" i="14"/>
  <c r="G33" i="14"/>
  <c r="I37" i="14"/>
  <c r="J37" i="14"/>
  <c r="F35" i="14"/>
  <c r="J31" i="14"/>
  <c r="L31" i="14"/>
  <c r="K33" i="14"/>
  <c r="H38" i="14"/>
  <c r="F32" i="14"/>
  <c r="F34" i="14"/>
  <c r="K37" i="14"/>
  <c r="F31" i="14"/>
  <c r="I33" i="14"/>
  <c r="F33" i="14"/>
  <c r="M32" i="14"/>
  <c r="G35" i="14"/>
  <c r="M31" i="14"/>
  <c r="I34" i="14"/>
  <c r="L36" i="14"/>
  <c r="K32" i="14"/>
  <c r="M36" i="14"/>
  <c r="I38" i="14"/>
  <c r="J32" i="14"/>
  <c r="H35" i="14"/>
  <c r="H32" i="14"/>
  <c r="I31" i="14"/>
  <c r="L38" i="14"/>
  <c r="G34" i="14"/>
  <c r="J34" i="14"/>
  <c r="L34" i="14"/>
  <c r="L35" i="14"/>
  <c r="H36" i="14"/>
  <c r="I36" i="14"/>
  <c r="J36" i="14"/>
  <c r="L32" i="14"/>
  <c r="K36" i="14"/>
  <c r="H37" i="14"/>
  <c r="J35" i="14"/>
  <c r="G32" i="14"/>
  <c r="J38" i="14"/>
  <c r="L37" i="14"/>
  <c r="M35" i="14"/>
  <c r="V46" i="14"/>
  <c r="T45" i="14"/>
  <c r="U46" i="14"/>
  <c r="V42" i="14"/>
  <c r="O46" i="14"/>
  <c r="T46" i="14"/>
  <c r="W44" i="14"/>
  <c r="T44" i="14"/>
  <c r="P46" i="14"/>
  <c r="O43" i="14"/>
  <c r="S44" i="14"/>
  <c r="S40" i="14"/>
  <c r="O47" i="14"/>
  <c r="O44" i="14"/>
  <c r="W47" i="14"/>
  <c r="Q40" i="14"/>
  <c r="S42" i="14"/>
  <c r="V41" i="14"/>
  <c r="V43" i="14"/>
  <c r="T42" i="14"/>
  <c r="R47" i="14"/>
  <c r="S45" i="14"/>
  <c r="W46" i="14"/>
  <c r="R46" i="14"/>
  <c r="P48" i="14"/>
  <c r="S41" i="14"/>
  <c r="Q48" i="14"/>
  <c r="R40" i="14"/>
  <c r="W48" i="14"/>
  <c r="R41" i="14"/>
  <c r="U45" i="14"/>
  <c r="P44" i="14"/>
  <c r="O42" i="14"/>
  <c r="V44" i="14"/>
  <c r="S47" i="14"/>
  <c r="Q46" i="14"/>
  <c r="Q41" i="14"/>
  <c r="V45" i="14"/>
  <c r="U43" i="14"/>
  <c r="T48" i="14"/>
  <c r="W45" i="14"/>
  <c r="U47" i="14"/>
  <c r="Q42" i="14"/>
  <c r="W41" i="14"/>
  <c r="R42" i="14"/>
  <c r="R44" i="14"/>
  <c r="U42" i="14"/>
  <c r="T40" i="14"/>
  <c r="U48" i="14"/>
  <c r="R48" i="14"/>
  <c r="P43" i="14"/>
  <c r="O40" i="14"/>
  <c r="U40" i="14"/>
  <c r="U41" i="14"/>
  <c r="S43" i="14"/>
  <c r="P40" i="14"/>
  <c r="U44" i="14"/>
  <c r="W43" i="14"/>
  <c r="S48" i="14"/>
  <c r="T43" i="14"/>
  <c r="Q44" i="14"/>
  <c r="W42" i="14"/>
  <c r="V40" i="14"/>
  <c r="Q43" i="14"/>
  <c r="Q47" i="14"/>
  <c r="V48" i="14"/>
  <c r="S46" i="14"/>
  <c r="W40" i="14"/>
  <c r="O48" i="14"/>
  <c r="T41" i="14"/>
  <c r="O41" i="14"/>
  <c r="Q45" i="14"/>
  <c r="P45" i="14"/>
  <c r="P47" i="14"/>
  <c r="T47" i="14"/>
  <c r="R45" i="14"/>
  <c r="O45" i="14"/>
  <c r="P42" i="14"/>
  <c r="P41" i="14"/>
  <c r="R43" i="14"/>
  <c r="S61" i="12"/>
  <c r="T61" i="12"/>
  <c r="U62" i="12"/>
  <c r="O62" i="12"/>
  <c r="R61" i="12"/>
  <c r="AG61" i="12" s="1"/>
  <c r="T62" i="12"/>
  <c r="V62" i="12"/>
  <c r="AH62" i="12" s="1"/>
  <c r="W62" i="12"/>
  <c r="O61" i="12"/>
  <c r="P62" i="12"/>
  <c r="Q61" i="12"/>
  <c r="AF61" i="12" s="1"/>
  <c r="Q62" i="12"/>
  <c r="AF62" i="12" s="1"/>
  <c r="S62" i="12"/>
  <c r="P61" i="12"/>
  <c r="U61" i="12"/>
  <c r="W61" i="12"/>
  <c r="V61" i="12"/>
  <c r="AH61" i="12" s="1"/>
  <c r="K55" i="12"/>
  <c r="I55" i="12"/>
  <c r="M56" i="12"/>
  <c r="J55" i="12"/>
  <c r="L56" i="12"/>
  <c r="AG56" i="12" s="1"/>
  <c r="J56" i="12"/>
  <c r="G55" i="12"/>
  <c r="K56" i="12"/>
  <c r="H55" i="12"/>
  <c r="AF55" i="12" s="1"/>
  <c r="H56" i="12"/>
  <c r="AF56" i="12" s="1"/>
  <c r="G56" i="12"/>
  <c r="I56" i="12"/>
  <c r="F55" i="12"/>
  <c r="L55" i="12"/>
  <c r="AG55" i="12" s="1"/>
  <c r="F56" i="12"/>
  <c r="M55" i="12"/>
  <c r="P73" i="11"/>
  <c r="U73" i="11"/>
  <c r="V74" i="11"/>
  <c r="AD74" i="11" s="1"/>
  <c r="S73" i="11"/>
  <c r="Q73" i="11"/>
  <c r="AB73" i="11" s="1"/>
  <c r="T73" i="11"/>
  <c r="W74" i="11"/>
  <c r="S74" i="11"/>
  <c r="U74" i="11"/>
  <c r="R74" i="11"/>
  <c r="AC74" i="11" s="1"/>
  <c r="O74" i="11"/>
  <c r="Q74" i="11"/>
  <c r="AB74" i="11" s="1"/>
  <c r="W73" i="11"/>
  <c r="R73" i="11"/>
  <c r="AC73" i="11" s="1"/>
  <c r="P74" i="11"/>
  <c r="V73" i="11"/>
  <c r="AD73" i="11" s="1"/>
  <c r="T74" i="11"/>
  <c r="J56" i="11"/>
  <c r="K56" i="11"/>
  <c r="M55" i="11"/>
  <c r="L55" i="11"/>
  <c r="AC55" i="11" s="1"/>
  <c r="K55" i="11"/>
  <c r="H55" i="11"/>
  <c r="AB55" i="11" s="1"/>
  <c r="J55" i="11"/>
  <c r="F56" i="11"/>
  <c r="G56" i="11"/>
  <c r="G55" i="11"/>
  <c r="L56" i="11"/>
  <c r="AC56" i="11" s="1"/>
  <c r="I55" i="11"/>
  <c r="I56" i="11"/>
  <c r="M56" i="11"/>
  <c r="H56" i="11"/>
  <c r="AB56" i="11" s="1"/>
  <c r="AB61" i="12" l="1" a="1"/>
  <c r="AD61" i="12" s="1"/>
  <c r="AB61" i="17" a="1"/>
  <c r="AC62" i="17" s="1"/>
  <c r="BA62" i="17" s="1"/>
  <c r="AB61" i="14" a="1"/>
  <c r="AC61" i="14" s="1"/>
  <c r="AB55" i="14" a="1"/>
  <c r="AC56" i="14" s="1"/>
  <c r="AB55" i="12" a="1"/>
  <c r="AC55" i="12" s="1"/>
  <c r="AB55" i="17" a="1"/>
  <c r="AC55" i="17" s="1"/>
  <c r="BA55" i="17" s="1"/>
  <c r="AF55" i="17" a="1"/>
  <c r="AF55" i="17" s="1"/>
  <c r="AF61" i="17" a="1"/>
  <c r="AG62" i="17" s="1"/>
  <c r="AR61" i="17" a="1"/>
  <c r="AV61" i="17" a="1"/>
  <c r="AR55" i="17" a="1"/>
  <c r="AV55" i="17" a="1"/>
  <c r="AD62" i="12"/>
  <c r="AB62" i="12"/>
  <c r="AF55" i="14" a="1"/>
  <c r="AF61" i="14" a="1"/>
  <c r="F55" i="14" a="1"/>
  <c r="I55" i="14" s="1"/>
  <c r="O61" i="14" a="1"/>
  <c r="S61" i="14" s="1"/>
  <c r="AB55" i="12" l="1"/>
  <c r="AJ55" i="12" s="1" a="1"/>
  <c r="AC61" i="17"/>
  <c r="BA61" i="17" s="1"/>
  <c r="AD62" i="17"/>
  <c r="BB62" i="17" s="1"/>
  <c r="AB55" i="14"/>
  <c r="AC55" i="14"/>
  <c r="AB56" i="17"/>
  <c r="AZ56" i="17" s="1"/>
  <c r="AB56" i="12"/>
  <c r="AJ56" i="12" s="1"/>
  <c r="AB56" i="14"/>
  <c r="AB61" i="12"/>
  <c r="AJ61" i="12" s="1" a="1"/>
  <c r="AB62" i="17"/>
  <c r="AZ62" i="17" s="1"/>
  <c r="AB61" i="17"/>
  <c r="AZ61" i="17" s="1"/>
  <c r="AC61" i="12"/>
  <c r="AK61" i="12" s="1"/>
  <c r="AD61" i="14"/>
  <c r="AD61" i="17"/>
  <c r="BB61" i="17" s="1"/>
  <c r="AD62" i="14"/>
  <c r="AB61" i="14"/>
  <c r="AC62" i="14"/>
  <c r="AC56" i="17"/>
  <c r="BA56" i="17" s="1"/>
  <c r="AB62" i="14"/>
  <c r="AC62" i="12"/>
  <c r="AK62" i="12" s="1"/>
  <c r="AC56" i="12"/>
  <c r="AK56" i="12" s="1"/>
  <c r="AB55" i="17"/>
  <c r="AZ55" i="17" s="1"/>
  <c r="AG56" i="17"/>
  <c r="AF56" i="17"/>
  <c r="AG61" i="17"/>
  <c r="AS61" i="17" s="1"/>
  <c r="AH62" i="17"/>
  <c r="AG55" i="17"/>
  <c r="AS55" i="17" s="1"/>
  <c r="AF61" i="17"/>
  <c r="AF62" i="17"/>
  <c r="AH61" i="17"/>
  <c r="AS62" i="17"/>
  <c r="AL62" i="12"/>
  <c r="AJ62" i="12"/>
  <c r="AL61" i="12"/>
  <c r="AF61" i="14"/>
  <c r="AF62" i="14"/>
  <c r="AG62" i="14"/>
  <c r="AH62" i="14"/>
  <c r="AH61" i="14"/>
  <c r="AG61" i="14"/>
  <c r="AF55" i="14"/>
  <c r="AG56" i="14"/>
  <c r="AF56" i="14"/>
  <c r="AG55" i="14"/>
  <c r="G55" i="14"/>
  <c r="F56" i="14"/>
  <c r="K55" i="14"/>
  <c r="H56" i="14"/>
  <c r="AJ56" i="14" s="1"/>
  <c r="AJ56" i="17" s="1"/>
  <c r="H55" i="14"/>
  <c r="AJ55" i="14" s="1"/>
  <c r="AJ55" i="17" s="1"/>
  <c r="I56" i="14"/>
  <c r="G56" i="14"/>
  <c r="M55" i="14"/>
  <c r="J55" i="14"/>
  <c r="F55" i="14"/>
  <c r="M56" i="14"/>
  <c r="L55" i="14"/>
  <c r="AK55" i="14" s="1"/>
  <c r="AK55" i="17" s="1"/>
  <c r="AW55" i="17" s="1"/>
  <c r="J56" i="14"/>
  <c r="K56" i="14"/>
  <c r="L56" i="14"/>
  <c r="AK56" i="14" s="1"/>
  <c r="AK56" i="17" s="1"/>
  <c r="T62" i="14"/>
  <c r="V62" i="14"/>
  <c r="AL62" i="14" s="1"/>
  <c r="AL62" i="17" s="1"/>
  <c r="AX62" i="17" s="1"/>
  <c r="Q62" i="14"/>
  <c r="AJ62" i="14" s="1"/>
  <c r="AJ62" i="17" s="1"/>
  <c r="O62" i="14"/>
  <c r="U61" i="14"/>
  <c r="O61" i="14"/>
  <c r="T61" i="14"/>
  <c r="Q61" i="14"/>
  <c r="AJ61" i="14" s="1"/>
  <c r="AJ61" i="17" s="1"/>
  <c r="S62" i="14"/>
  <c r="W62" i="14"/>
  <c r="P61" i="14"/>
  <c r="R61" i="14"/>
  <c r="AK61" i="14" s="1"/>
  <c r="AK61" i="17" s="1"/>
  <c r="AW61" i="17" s="1"/>
  <c r="V61" i="14"/>
  <c r="AL61" i="14" s="1"/>
  <c r="AL61" i="17" s="1"/>
  <c r="U62" i="14"/>
  <c r="P62" i="14"/>
  <c r="W61" i="14"/>
  <c r="R62" i="14"/>
  <c r="AK62" i="14" s="1"/>
  <c r="AK62" i="17" s="1"/>
  <c r="AW62" i="17" s="1"/>
  <c r="AJ55" i="12"/>
  <c r="AK55" i="12"/>
  <c r="AJ61" i="12" l="1"/>
  <c r="AT62" i="17"/>
  <c r="AV56" i="17"/>
  <c r="AS56" i="17"/>
  <c r="AR56" i="17"/>
  <c r="AR55" i="17"/>
  <c r="AX61" i="17"/>
  <c r="AV62" i="17"/>
  <c r="AR62" i="17"/>
  <c r="AV55" i="17"/>
  <c r="AV61" i="17"/>
  <c r="AR61" i="17"/>
  <c r="AW56" i="17"/>
  <c r="AT61" i="17"/>
  <c r="AR55" i="14" a="1"/>
  <c r="AR55" i="14" s="1"/>
  <c r="AR61" i="14" a="1"/>
  <c r="AT61" i="14" s="1"/>
  <c r="AO55" i="14"/>
  <c r="AN56" i="14"/>
  <c r="AO56" i="14"/>
  <c r="AN55" i="14"/>
  <c r="AN55" i="14" a="1"/>
  <c r="AN61" i="14" a="1"/>
  <c r="AN62" i="14" s="1"/>
  <c r="AS55" i="14"/>
  <c r="AR56" i="14" l="1"/>
  <c r="AR61" i="14"/>
  <c r="AP62" i="14"/>
  <c r="AO62" i="14"/>
  <c r="AS61" i="14"/>
  <c r="AS56" i="14"/>
  <c r="AP61" i="14"/>
  <c r="AS62" i="14"/>
  <c r="AO61" i="14"/>
  <c r="AT62" i="14"/>
  <c r="AN61" i="14"/>
  <c r="AR62" i="14"/>
  <c r="AB8" i="14" l="1"/>
  <c r="AB8" i="11"/>
  <c r="AF8" i="12"/>
  <c r="Y8" i="12" s="1"/>
  <c r="Z8" i="12"/>
  <c r="Z9" i="12"/>
  <c r="AF9" i="12"/>
  <c r="Y9" i="12" s="1"/>
  <c r="AB9" i="12" s="1"/>
  <c r="AB9" i="11"/>
  <c r="AB9" i="14"/>
  <c r="AB31" i="11" l="1" a="1"/>
  <c r="AB36" i="11" s="1"/>
  <c r="AB31" i="14" a="1"/>
  <c r="AB35" i="14" s="1"/>
  <c r="AB8" i="12"/>
  <c r="AB37" i="11"/>
  <c r="AB38" i="11" l="1"/>
  <c r="AB31" i="11"/>
  <c r="AB33" i="11"/>
  <c r="AB35" i="11"/>
  <c r="AB32" i="11"/>
  <c r="AB31" i="12" a="1"/>
  <c r="AB35" i="12" s="1"/>
  <c r="F58" i="12" a="1"/>
  <c r="F58" i="12" s="1"/>
  <c r="AB34" i="11"/>
  <c r="AB34" i="14"/>
  <c r="AB37" i="14"/>
  <c r="AB33" i="14"/>
  <c r="AB31" i="14"/>
  <c r="AB36" i="14"/>
  <c r="AB32" i="14"/>
  <c r="AB38" i="14"/>
  <c r="F40" i="11" l="1" a="1"/>
  <c r="K42" i="11" s="1"/>
  <c r="AB34" i="12"/>
  <c r="AB38" i="12"/>
  <c r="AB31" i="12"/>
  <c r="AB32" i="12"/>
  <c r="AB36" i="12"/>
  <c r="AB37" i="12"/>
  <c r="AB33" i="12"/>
  <c r="F40" i="14" a="1"/>
  <c r="F47" i="14" s="1"/>
  <c r="AB40" i="11" a="1"/>
  <c r="AB47" i="11" s="1"/>
  <c r="AB40" i="14" a="1"/>
  <c r="AB40" i="14" s="1"/>
  <c r="M43" i="11"/>
  <c r="M41" i="11"/>
  <c r="I44" i="11"/>
  <c r="I42" i="11"/>
  <c r="J41" i="11"/>
  <c r="M45" i="11"/>
  <c r="G41" i="11"/>
  <c r="K41" i="11"/>
  <c r="J48" i="11"/>
  <c r="H43" i="11"/>
  <c r="K48" i="11"/>
  <c r="H40" i="11"/>
  <c r="L43" i="11"/>
  <c r="J46" i="11"/>
  <c r="F44" i="11"/>
  <c r="L46" i="11"/>
  <c r="L41" i="11"/>
  <c r="F40" i="11"/>
  <c r="G45" i="11"/>
  <c r="H47" i="11"/>
  <c r="H46" i="11"/>
  <c r="J47" i="11"/>
  <c r="I43" i="11"/>
  <c r="M48" i="11"/>
  <c r="H45" i="11"/>
  <c r="M42" i="11"/>
  <c r="K43" i="11"/>
  <c r="K47" i="11"/>
  <c r="L44" i="11"/>
  <c r="I45" i="11"/>
  <c r="I40" i="11"/>
  <c r="G42" i="11"/>
  <c r="L40" i="11"/>
  <c r="J44" i="11"/>
  <c r="F41" i="11"/>
  <c r="J42" i="11"/>
  <c r="F40" i="12" l="1" a="1"/>
  <c r="M42" i="12" s="1"/>
  <c r="F46" i="11"/>
  <c r="H48" i="11"/>
  <c r="M46" i="11"/>
  <c r="M44" i="11"/>
  <c r="I47" i="11"/>
  <c r="J45" i="11"/>
  <c r="K46" i="11"/>
  <c r="J40" i="11"/>
  <c r="H41" i="11"/>
  <c r="L42" i="11"/>
  <c r="G48" i="11"/>
  <c r="F45" i="11"/>
  <c r="G43" i="11"/>
  <c r="L47" i="11"/>
  <c r="H44" i="11"/>
  <c r="G41" i="14"/>
  <c r="L45" i="11"/>
  <c r="K44" i="11"/>
  <c r="M40" i="11"/>
  <c r="G40" i="11"/>
  <c r="I48" i="11"/>
  <c r="M47" i="11"/>
  <c r="J43" i="11"/>
  <c r="I46" i="11"/>
  <c r="F43" i="11"/>
  <c r="K40" i="11"/>
  <c r="G44" i="11"/>
  <c r="K45" i="11"/>
  <c r="F47" i="11"/>
  <c r="H42" i="11"/>
  <c r="F48" i="11"/>
  <c r="F42" i="11"/>
  <c r="I41" i="11"/>
  <c r="L48" i="11"/>
  <c r="G47" i="11"/>
  <c r="G46" i="11"/>
  <c r="AB40" i="12" a="1"/>
  <c r="AB41" i="12" s="1"/>
  <c r="G47" i="14"/>
  <c r="K48" i="14"/>
  <c r="G45" i="14"/>
  <c r="F46" i="14"/>
  <c r="H40" i="14"/>
  <c r="L47" i="14"/>
  <c r="M48" i="14"/>
  <c r="F43" i="14"/>
  <c r="M43" i="14"/>
  <c r="J45" i="14"/>
  <c r="H43" i="14"/>
  <c r="F45" i="14"/>
  <c r="G44" i="14"/>
  <c r="L41" i="14"/>
  <c r="L43" i="14"/>
  <c r="G42" i="14"/>
  <c r="H47" i="14"/>
  <c r="K43" i="14"/>
  <c r="J41" i="14"/>
  <c r="I41" i="14"/>
  <c r="L45" i="14"/>
  <c r="H46" i="14"/>
  <c r="F42" i="14"/>
  <c r="G43" i="14"/>
  <c r="I44" i="14"/>
  <c r="I42" i="14"/>
  <c r="J46" i="14"/>
  <c r="M42" i="14"/>
  <c r="K47" i="14"/>
  <c r="K44" i="14"/>
  <c r="M40" i="14"/>
  <c r="I43" i="14"/>
  <c r="L44" i="14"/>
  <c r="G48" i="14"/>
  <c r="AB45" i="11"/>
  <c r="AB41" i="11"/>
  <c r="AB43" i="11"/>
  <c r="I48" i="14"/>
  <c r="AB41" i="14"/>
  <c r="O50" i="14" s="1" a="1"/>
  <c r="AB44" i="11"/>
  <c r="AB48" i="11"/>
  <c r="L40" i="14"/>
  <c r="J47" i="14"/>
  <c r="M44" i="14"/>
  <c r="I40" i="14"/>
  <c r="H45" i="14"/>
  <c r="J40" i="14"/>
  <c r="AB46" i="14"/>
  <c r="AB40" i="11"/>
  <c r="I45" i="14"/>
  <c r="K40" i="14"/>
  <c r="M46" i="14"/>
  <c r="F41" i="14"/>
  <c r="K42" i="14"/>
  <c r="G46" i="14"/>
  <c r="AB48" i="14"/>
  <c r="AB46" i="11"/>
  <c r="H41" i="14"/>
  <c r="J43" i="14"/>
  <c r="K46" i="14"/>
  <c r="J42" i="14"/>
  <c r="M47" i="14"/>
  <c r="G40" i="14"/>
  <c r="AB44" i="14"/>
  <c r="AB42" i="11"/>
  <c r="H48" i="14"/>
  <c r="I46" i="14"/>
  <c r="I47" i="14"/>
  <c r="F48" i="14"/>
  <c r="H44" i="14"/>
  <c r="J44" i="14"/>
  <c r="M45" i="14"/>
  <c r="H42" i="14"/>
  <c r="M41" i="14"/>
  <c r="J48" i="14"/>
  <c r="K45" i="14"/>
  <c r="F44" i="14"/>
  <c r="L46" i="14"/>
  <c r="L42" i="14"/>
  <c r="F40" i="14"/>
  <c r="L48" i="14"/>
  <c r="K41" i="14"/>
  <c r="AB47" i="14"/>
  <c r="AB43" i="14"/>
  <c r="AB42" i="14"/>
  <c r="AB45" i="14"/>
  <c r="L42" i="12" l="1"/>
  <c r="F47" i="12"/>
  <c r="K40" i="12"/>
  <c r="G43" i="12"/>
  <c r="I47" i="12"/>
  <c r="M44" i="12"/>
  <c r="H41" i="12"/>
  <c r="K47" i="12"/>
  <c r="G42" i="12"/>
  <c r="M46" i="12"/>
  <c r="H43" i="12"/>
  <c r="F40" i="12"/>
  <c r="K48" i="12"/>
  <c r="H47" i="12"/>
  <c r="K46" i="12"/>
  <c r="J45" i="12"/>
  <c r="F44" i="12"/>
  <c r="H46" i="12"/>
  <c r="L44" i="12"/>
  <c r="I42" i="12"/>
  <c r="I43" i="12"/>
  <c r="J44" i="12"/>
  <c r="M45" i="12"/>
  <c r="L47" i="12"/>
  <c r="K44" i="12"/>
  <c r="H48" i="12"/>
  <c r="F42" i="12"/>
  <c r="M43" i="12"/>
  <c r="J43" i="12"/>
  <c r="J46" i="12"/>
  <c r="M41" i="12"/>
  <c r="H42" i="12"/>
  <c r="L41" i="12"/>
  <c r="I40" i="12"/>
  <c r="I45" i="12"/>
  <c r="H40" i="12"/>
  <c r="G40" i="12"/>
  <c r="G41" i="12"/>
  <c r="L45" i="12"/>
  <c r="F46" i="12"/>
  <c r="L46" i="12"/>
  <c r="K42" i="12"/>
  <c r="L43" i="12"/>
  <c r="G48" i="12"/>
  <c r="L48" i="12"/>
  <c r="I48" i="12"/>
  <c r="K45" i="12"/>
  <c r="H44" i="12"/>
  <c r="I46" i="12"/>
  <c r="J47" i="12"/>
  <c r="M48" i="12"/>
  <c r="F41" i="12"/>
  <c r="J48" i="12"/>
  <c r="M47" i="12"/>
  <c r="J42" i="12"/>
  <c r="J41" i="12"/>
  <c r="J40" i="12"/>
  <c r="M40" i="12"/>
  <c r="H45" i="12"/>
  <c r="G46" i="12"/>
  <c r="AB46" i="12"/>
  <c r="F45" i="12"/>
  <c r="K43" i="12"/>
  <c r="K41" i="12"/>
  <c r="L40" i="12"/>
  <c r="G47" i="12"/>
  <c r="F48" i="12"/>
  <c r="F43" i="12"/>
  <c r="I44" i="12"/>
  <c r="G45" i="12"/>
  <c r="I41" i="12"/>
  <c r="G44" i="12"/>
  <c r="AB45" i="12"/>
  <c r="AB42" i="12"/>
  <c r="AB44" i="12"/>
  <c r="AB47" i="12"/>
  <c r="AB43" i="12"/>
  <c r="AB40" i="12"/>
  <c r="AB48" i="12"/>
  <c r="O31" i="14" a="1"/>
  <c r="T33" i="14" s="1"/>
  <c r="O50" i="11" a="1"/>
  <c r="V51" i="11" s="1"/>
  <c r="O31" i="11" a="1"/>
  <c r="Q33" i="11" s="1"/>
  <c r="V51" i="14"/>
  <c r="U51" i="14"/>
  <c r="O50" i="14"/>
  <c r="W51" i="14"/>
  <c r="T50" i="14"/>
  <c r="S50" i="14"/>
  <c r="W50" i="14"/>
  <c r="V50" i="14"/>
  <c r="P51" i="14"/>
  <c r="R51" i="14"/>
  <c r="S51" i="14"/>
  <c r="Q50" i="14"/>
  <c r="R50" i="14"/>
  <c r="P50" i="14"/>
  <c r="Q51" i="14"/>
  <c r="T51" i="14"/>
  <c r="O51" i="14"/>
  <c r="U50" i="14"/>
  <c r="W33" i="14"/>
  <c r="V34" i="14"/>
  <c r="U33" i="14"/>
  <c r="O38" i="14"/>
  <c r="S37" i="14"/>
  <c r="W35" i="14"/>
  <c r="W32" i="14"/>
  <c r="P38" i="14"/>
  <c r="W50" i="11"/>
  <c r="Q50" i="11"/>
  <c r="W51" i="11"/>
  <c r="P51" i="11"/>
  <c r="T50" i="11"/>
  <c r="Q51" i="11"/>
  <c r="U50" i="11"/>
  <c r="O50" i="11"/>
  <c r="S50" i="11"/>
  <c r="S51" i="11"/>
  <c r="T51" i="11"/>
  <c r="O51" i="11"/>
  <c r="R50" i="11"/>
  <c r="V50" i="11"/>
  <c r="U34" i="14" l="1"/>
  <c r="O37" i="14"/>
  <c r="O34" i="14"/>
  <c r="S34" i="14"/>
  <c r="Q37" i="14"/>
  <c r="T34" i="14"/>
  <c r="W36" i="14"/>
  <c r="U32" i="14"/>
  <c r="T31" i="14"/>
  <c r="V32" i="14"/>
  <c r="W38" i="14"/>
  <c r="T32" i="14"/>
  <c r="U31" i="14"/>
  <c r="O33" i="14"/>
  <c r="S35" i="14"/>
  <c r="Q34" i="14"/>
  <c r="Q38" i="14"/>
  <c r="T35" i="14"/>
  <c r="R32" i="14"/>
  <c r="Q32" i="14"/>
  <c r="U38" i="14"/>
  <c r="P35" i="14"/>
  <c r="T38" i="14"/>
  <c r="S31" i="14"/>
  <c r="V33" i="14"/>
  <c r="O36" i="14"/>
  <c r="P37" i="14"/>
  <c r="P31" i="14"/>
  <c r="U36" i="14"/>
  <c r="S32" i="14"/>
  <c r="R31" i="14"/>
  <c r="Q31" i="14"/>
  <c r="V31" i="14"/>
  <c r="P33" i="14"/>
  <c r="R37" i="14"/>
  <c r="V36" i="14"/>
  <c r="Q33" i="14"/>
  <c r="U35" i="14"/>
  <c r="O31" i="12" a="1"/>
  <c r="R38" i="12" s="1"/>
  <c r="O50" i="12" a="1"/>
  <c r="P51" i="12" s="1"/>
  <c r="W33" i="11"/>
  <c r="Q35" i="11"/>
  <c r="U36" i="11"/>
  <c r="U32" i="11"/>
  <c r="W32" i="11"/>
  <c r="Q34" i="11"/>
  <c r="O35" i="11"/>
  <c r="U37" i="14"/>
  <c r="P35" i="11"/>
  <c r="Q32" i="11"/>
  <c r="R34" i="11"/>
  <c r="P33" i="11"/>
  <c r="O32" i="11"/>
  <c r="S37" i="11"/>
  <c r="R36" i="11"/>
  <c r="O38" i="11"/>
  <c r="R38" i="11"/>
  <c r="O31" i="11"/>
  <c r="V37" i="11"/>
  <c r="T37" i="11"/>
  <c r="V31" i="11"/>
  <c r="W36" i="11"/>
  <c r="S36" i="11"/>
  <c r="Q36" i="11"/>
  <c r="V32" i="11"/>
  <c r="R33" i="14"/>
  <c r="S38" i="14"/>
  <c r="S33" i="14"/>
  <c r="R38" i="14"/>
  <c r="W37" i="14"/>
  <c r="S31" i="11"/>
  <c r="W35" i="11"/>
  <c r="Q31" i="11"/>
  <c r="V34" i="11"/>
  <c r="U38" i="11"/>
  <c r="O33" i="11"/>
  <c r="T32" i="11"/>
  <c r="T31" i="11"/>
  <c r="R33" i="11"/>
  <c r="T38" i="11"/>
  <c r="U34" i="11"/>
  <c r="T36" i="11"/>
  <c r="P36" i="11"/>
  <c r="S38" i="11"/>
  <c r="U33" i="11"/>
  <c r="W38" i="11"/>
  <c r="R31" i="11"/>
  <c r="U35" i="11"/>
  <c r="O36" i="11"/>
  <c r="V35" i="11"/>
  <c r="V36" i="11"/>
  <c r="O37" i="11"/>
  <c r="R35" i="11"/>
  <c r="R51" i="11"/>
  <c r="W31" i="14"/>
  <c r="T37" i="14"/>
  <c r="T36" i="14"/>
  <c r="R36" i="14"/>
  <c r="R35" i="14"/>
  <c r="P36" i="14"/>
  <c r="Q36" i="14"/>
  <c r="O35" i="14"/>
  <c r="T33" i="11"/>
  <c r="P34" i="11"/>
  <c r="P38" i="11"/>
  <c r="Q37" i="11"/>
  <c r="Q38" i="11"/>
  <c r="U51" i="11"/>
  <c r="V38" i="14"/>
  <c r="P34" i="14"/>
  <c r="Q35" i="14"/>
  <c r="O32" i="14"/>
  <c r="U37" i="11"/>
  <c r="P37" i="11"/>
  <c r="S35" i="11"/>
  <c r="R37" i="11"/>
  <c r="S33" i="11"/>
  <c r="P50" i="11"/>
  <c r="V37" i="14"/>
  <c r="S36" i="14"/>
  <c r="O31" i="14"/>
  <c r="W34" i="14"/>
  <c r="P32" i="14"/>
  <c r="V35" i="14"/>
  <c r="O34" i="11"/>
  <c r="V38" i="11"/>
  <c r="R32" i="11"/>
  <c r="S34" i="11"/>
  <c r="W31" i="11"/>
  <c r="P32" i="11"/>
  <c r="T35" i="11"/>
  <c r="P31" i="11"/>
  <c r="V33" i="11"/>
  <c r="R34" i="14"/>
  <c r="T34" i="11"/>
  <c r="S32" i="11"/>
  <c r="W37" i="11"/>
  <c r="W34" i="11"/>
  <c r="U31" i="11"/>
  <c r="AB51" i="14"/>
  <c r="AB51" i="11"/>
  <c r="W50" i="12" l="1"/>
  <c r="T51" i="12"/>
  <c r="O33" i="12"/>
  <c r="V35" i="12"/>
  <c r="U32" i="12"/>
  <c r="P37" i="12"/>
  <c r="Q32" i="12"/>
  <c r="W36" i="12"/>
  <c r="V36" i="12"/>
  <c r="T37" i="12"/>
  <c r="Q31" i="12"/>
  <c r="S34" i="12"/>
  <c r="T50" i="12"/>
  <c r="V38" i="12"/>
  <c r="O38" i="12"/>
  <c r="U37" i="12"/>
  <c r="P38" i="12"/>
  <c r="P32" i="12"/>
  <c r="S33" i="12"/>
  <c r="R34" i="12"/>
  <c r="V33" i="12"/>
  <c r="P33" i="12"/>
  <c r="R33" i="12"/>
  <c r="O50" i="12"/>
  <c r="S38" i="12"/>
  <c r="V34" i="12"/>
  <c r="Q36" i="12"/>
  <c r="W32" i="12"/>
  <c r="U38" i="12"/>
  <c r="W35" i="12"/>
  <c r="O36" i="12"/>
  <c r="R36" i="12"/>
  <c r="W51" i="12"/>
  <c r="S31" i="12"/>
  <c r="R31" i="12"/>
  <c r="V51" i="12"/>
  <c r="T38" i="12"/>
  <c r="U35" i="12"/>
  <c r="T34" i="12"/>
  <c r="P31" i="12"/>
  <c r="R32" i="12"/>
  <c r="U36" i="12"/>
  <c r="V31" i="12"/>
  <c r="T33" i="12"/>
  <c r="R35" i="12"/>
  <c r="S35" i="12"/>
  <c r="T36" i="12"/>
  <c r="Q34" i="12"/>
  <c r="W31" i="12"/>
  <c r="O32" i="12"/>
  <c r="O31" i="12"/>
  <c r="V32" i="12"/>
  <c r="P36" i="12"/>
  <c r="U33" i="12"/>
  <c r="T35" i="12"/>
  <c r="Q35" i="12"/>
  <c r="U34" i="12"/>
  <c r="V37" i="12"/>
  <c r="S32" i="12"/>
  <c r="O37" i="12"/>
  <c r="P34" i="12"/>
  <c r="P35" i="12"/>
  <c r="Q38" i="12"/>
  <c r="O35" i="12"/>
  <c r="S37" i="12"/>
  <c r="O34" i="12"/>
  <c r="S36" i="12"/>
  <c r="U31" i="12"/>
  <c r="T31" i="12"/>
  <c r="T32" i="12"/>
  <c r="W38" i="12"/>
  <c r="Q33" i="12"/>
  <c r="W37" i="12"/>
  <c r="W34" i="12"/>
  <c r="R37" i="12"/>
  <c r="Q37" i="12"/>
  <c r="W33" i="12"/>
  <c r="U51" i="12"/>
  <c r="P50" i="12"/>
  <c r="Q51" i="12"/>
  <c r="V50" i="12"/>
  <c r="R50" i="12"/>
  <c r="S51" i="12"/>
  <c r="S50" i="12"/>
  <c r="Q50" i="12"/>
  <c r="O51" i="12"/>
  <c r="R51" i="12"/>
  <c r="U50" i="12"/>
  <c r="AN69" i="14"/>
  <c r="AN71" i="14"/>
  <c r="AG67" i="12" l="1"/>
  <c r="AF66" i="12"/>
  <c r="AG66" i="12"/>
  <c r="AF67" i="12"/>
  <c r="AB51" i="12"/>
  <c r="AN70" i="14" s="1"/>
  <c r="AJ66" i="12" l="1" a="1"/>
  <c r="AJ66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<sst xmlns="http://schemas.openxmlformats.org/spreadsheetml/2006/main" count="1145" uniqueCount="176">
  <si>
    <t>kg</t>
  </si>
  <si>
    <t>unit</t>
  </si>
  <si>
    <t>Electricity</t>
  </si>
  <si>
    <t>regions</t>
  </si>
  <si>
    <t>EU27</t>
  </si>
  <si>
    <t>Goods</t>
  </si>
  <si>
    <t>Services</t>
  </si>
  <si>
    <t>Steel</t>
  </si>
  <si>
    <t>RoW</t>
  </si>
  <si>
    <t>units</t>
  </si>
  <si>
    <t>Other industries</t>
  </si>
  <si>
    <t>-</t>
  </si>
  <si>
    <t>TJ</t>
  </si>
  <si>
    <t>Mton</t>
  </si>
  <si>
    <t>G€</t>
  </si>
  <si>
    <t>u</t>
  </si>
  <si>
    <t>d</t>
  </si>
  <si>
    <t>v</t>
  </si>
  <si>
    <t>r</t>
  </si>
  <si>
    <t>Value added</t>
  </si>
  <si>
    <t>GHG</t>
  </si>
  <si>
    <t>Y</t>
  </si>
  <si>
    <t>Final demand</t>
  </si>
  <si>
    <t>R_Y</t>
  </si>
  <si>
    <t>Traditional steelmaking</t>
  </si>
  <si>
    <t>Average steelmaking</t>
  </si>
  <si>
    <t>Green steelmaking</t>
  </si>
  <si>
    <r>
      <t xml:space="preserve">U 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 xml:space="preserve"> u </t>
    </r>
    <r>
      <rPr>
        <sz val="11"/>
        <color theme="1"/>
        <rFont val="Calibri"/>
        <family val="2"/>
        <scheme val="minor"/>
      </rPr>
      <t>diag(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</si>
  <si>
    <t>Y_tot</t>
  </si>
  <si>
    <r>
      <t xml:space="preserve">Q </t>
    </r>
    <r>
      <rPr>
        <sz val="11"/>
        <color theme="1"/>
        <rFont val="Calibri"/>
        <family val="2"/>
        <scheme val="minor"/>
      </rPr>
      <t xml:space="preserve">= </t>
    </r>
    <r>
      <rPr>
        <b/>
        <sz val="11"/>
        <color theme="1"/>
        <rFont val="Calibri"/>
        <family val="2"/>
        <scheme val="minor"/>
      </rPr>
      <t>wY_tot</t>
    </r>
  </si>
  <si>
    <r>
      <t xml:space="preserve">X </t>
    </r>
    <r>
      <rPr>
        <sz val="11"/>
        <color theme="1"/>
        <rFont val="Calibri"/>
        <family val="2"/>
        <scheme val="minor"/>
      </rPr>
      <t xml:space="preserve">= </t>
    </r>
    <r>
      <rPr>
        <b/>
        <sz val="11"/>
        <color theme="1"/>
        <rFont val="Calibri"/>
        <family val="2"/>
        <scheme val="minor"/>
      </rPr>
      <t>dQ</t>
    </r>
  </si>
  <si>
    <r>
      <t xml:space="preserve">R 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 xml:space="preserve"> r </t>
    </r>
    <r>
      <rPr>
        <sz val="11"/>
        <color theme="1"/>
        <rFont val="Calibri"/>
        <family val="2"/>
        <scheme val="minor"/>
      </rPr>
      <t>diag(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</si>
  <si>
    <t>products</t>
  </si>
  <si>
    <t>technologies</t>
  </si>
  <si>
    <t>Prices</t>
  </si>
  <si>
    <t>price</t>
  </si>
  <si>
    <t>€/ton</t>
  </si>
  <si>
    <t>ton/ton</t>
  </si>
  <si>
    <r>
      <rPr>
        <b/>
        <sz val="11"/>
        <color theme="1"/>
        <rFont val="Calibri"/>
        <family val="2"/>
        <scheme val="minor"/>
      </rPr>
      <t>w_pp</t>
    </r>
    <r>
      <rPr>
        <sz val="11"/>
        <color theme="1"/>
        <rFont val="Calibri"/>
        <family val="2"/>
        <scheme val="minor"/>
      </rPr>
      <t xml:space="preserve"> = inv(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ud</t>
    </r>
    <r>
      <rPr>
        <sz val="11"/>
        <color theme="1"/>
        <rFont val="Calibri"/>
        <family val="2"/>
        <scheme val="minor"/>
      </rPr>
      <t>)</t>
    </r>
  </si>
  <si>
    <r>
      <t xml:space="preserve">r_e 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 xml:space="preserve"> r d w_pp</t>
    </r>
  </si>
  <si>
    <r>
      <rPr>
        <b/>
        <sz val="11"/>
        <color theme="1"/>
        <rFont val="Calibri"/>
        <family val="2"/>
        <scheme val="minor"/>
      </rPr>
      <t>w_tt</t>
    </r>
    <r>
      <rPr>
        <sz val="11"/>
        <color theme="1"/>
        <rFont val="Calibri"/>
        <family val="2"/>
        <scheme val="minor"/>
      </rPr>
      <t xml:space="preserve"> = inv(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</t>
    </r>
    <r>
      <rPr>
        <b/>
        <sz val="11"/>
        <color theme="1"/>
        <rFont val="Calibri"/>
        <family val="2"/>
        <scheme val="minor"/>
      </rPr>
      <t>du</t>
    </r>
    <r>
      <rPr>
        <sz val="11"/>
        <color theme="1"/>
        <rFont val="Calibri"/>
        <family val="2"/>
        <scheme val="minor"/>
      </rPr>
      <t>)</t>
    </r>
  </si>
  <si>
    <r>
      <t xml:space="preserve">r_e 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 xml:space="preserve"> r w_tt</t>
    </r>
  </si>
  <si>
    <t>trad</t>
  </si>
  <si>
    <t>green</t>
  </si>
  <si>
    <t>avg</t>
  </si>
  <si>
    <t>a. Fill the information on green steelmaking industry in EU27</t>
  </si>
  <si>
    <t>baseline</t>
  </si>
  <si>
    <t>green steel</t>
  </si>
  <si>
    <t>offshoring</t>
  </si>
  <si>
    <t>offshoring-baseline</t>
  </si>
  <si>
    <t>green steel - baseline</t>
  </si>
  <si>
    <t>Tot</t>
  </si>
  <si>
    <t>environmental transactions</t>
  </si>
  <si>
    <t>environmental and value added transactions</t>
  </si>
  <si>
    <t>fuel A</t>
  </si>
  <si>
    <t>fuel B</t>
  </si>
  <si>
    <t>heat</t>
  </si>
  <si>
    <t>product A</t>
  </si>
  <si>
    <t>product B</t>
  </si>
  <si>
    <t>oil refinery</t>
  </si>
  <si>
    <t>boiler</t>
  </si>
  <si>
    <t>pv plant</t>
  </si>
  <si>
    <t>industry</t>
  </si>
  <si>
    <t>U</t>
  </si>
  <si>
    <t>MWh</t>
  </si>
  <si>
    <t>ton</t>
  </si>
  <si>
    <t>Q'</t>
  </si>
  <si>
    <t>electricity</t>
  </si>
  <si>
    <t>goods</t>
  </si>
  <si>
    <t>chp plant</t>
  </si>
  <si>
    <r>
      <rPr>
        <b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>*inv(diag(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))</t>
    </r>
  </si>
  <si>
    <r>
      <t xml:space="preserve">Q </t>
    </r>
    <r>
      <rPr>
        <sz val="11"/>
        <color theme="1"/>
        <rFont val="Calibri"/>
        <family val="2"/>
        <scheme val="minor"/>
      </rPr>
      <t>= sum(</t>
    </r>
    <r>
      <rPr>
        <b/>
        <sz val="11"/>
        <color theme="1"/>
        <rFont val="Calibri"/>
        <family val="2"/>
        <scheme val="minor"/>
      </rPr>
      <t>U,Y</t>
    </r>
    <r>
      <rPr>
        <sz val="11"/>
        <color theme="1"/>
        <rFont val="Calibri"/>
        <family val="2"/>
        <scheme val="minor"/>
      </rPr>
      <t>)</t>
    </r>
  </si>
  <si>
    <r>
      <t xml:space="preserve">X </t>
    </r>
    <r>
      <rPr>
        <sz val="11"/>
        <color theme="1"/>
        <rFont val="Calibri"/>
        <family val="2"/>
        <scheme val="minor"/>
      </rPr>
      <t>= sum(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)</t>
    </r>
  </si>
  <si>
    <t>industries</t>
  </si>
  <si>
    <t>refinery</t>
  </si>
  <si>
    <t>gas boiler</t>
  </si>
  <si>
    <t>aluminium</t>
  </si>
  <si>
    <t>waste management service</t>
  </si>
  <si>
    <t>aluminium production</t>
  </si>
  <si>
    <t>waste management</t>
  </si>
  <si>
    <t>kWh</t>
  </si>
  <si>
    <t>Q = sum(U,Y)</t>
  </si>
  <si>
    <t>1. Define the Reference Production System (RPS) and the Supply and Use Table (SUT) and calculate the total demand by product and total activity by technology. </t>
  </si>
  <si>
    <t>c</t>
  </si>
  <si>
    <t>inv(c)</t>
  </si>
  <si>
    <t>z</t>
  </si>
  <si>
    <t>b. Calculate footprint and price of steel product</t>
  </si>
  <si>
    <t>investments</t>
  </si>
  <si>
    <t>d. Assess impact of 40% green steel production. Consider this implies 2 Mton of goods, 3 TJ of electricity, 0.5 G€ of services and 0.1 Mton of steel of extra final demand as investment</t>
  </si>
  <si>
    <t>Y (a,b,c)</t>
  </si>
  <si>
    <t>d_new</t>
  </si>
  <si>
    <t>e. (EXTRA) Compare results of point d with the case in which EU fully offshores steel production to RoW</t>
  </si>
  <si>
    <t>The green steel scenario (point d) leads to much lower GHG prices at a negligible increase in steel price</t>
  </si>
  <si>
    <t>R_tot</t>
  </si>
  <si>
    <t>The offshoring scenario (point e) leads to a lower price of steel at the expense of a higher environmental footprint</t>
  </si>
  <si>
    <t>The total GHG emissions in the three cases are</t>
  </si>
  <si>
    <t>Overall, none of the two approaches impacts significantly on the global GHG emissions</t>
  </si>
  <si>
    <t>f. What is the optimal market share of EU steel to have a domestic price increase of less than 1%? What would be the GHG footprint in this case?</t>
  </si>
  <si>
    <t>optimal</t>
  </si>
  <si>
    <t>optimal-baseline</t>
  </si>
  <si>
    <t>max increase in domestic price</t>
  </si>
  <si>
    <t>Carbon footprint of EU27 steel in the optimal case is 1.47 ton/ton</t>
  </si>
  <si>
    <t>industry-based tech assumption</t>
  </si>
  <si>
    <t>product-based tech assumption</t>
  </si>
  <si>
    <t>manufacturing</t>
  </si>
  <si>
    <t>scrap</t>
  </si>
  <si>
    <t>X = sum(V)</t>
  </si>
  <si>
    <t>Recalculate extensive matrices</t>
  </si>
  <si>
    <r>
      <rPr>
        <b/>
        <sz val="11"/>
        <color rgb="FF000000"/>
        <rFont val="Calibri"/>
        <family val="2"/>
        <scheme val="minor"/>
      </rPr>
      <t>U_it</t>
    </r>
    <r>
      <rPr>
        <sz val="11"/>
        <color rgb="FF000000"/>
        <rFont val="Calibri"/>
        <family val="2"/>
        <scheme val="minor"/>
      </rPr>
      <t>=</t>
    </r>
    <r>
      <rPr>
        <b/>
        <sz val="11"/>
        <color rgb="FF000000"/>
        <rFont val="Calibri"/>
        <family val="2"/>
        <scheme val="minor"/>
      </rPr>
      <t>u</t>
    </r>
    <r>
      <rPr>
        <sz val="11"/>
        <color rgb="FF000000"/>
        <rFont val="Calibri"/>
        <family val="2"/>
        <scheme val="minor"/>
      </rPr>
      <t>*diag(</t>
    </r>
    <r>
      <rPr>
        <b/>
        <sz val="11"/>
        <color rgb="FF000000"/>
        <rFont val="Calibri"/>
        <family val="2"/>
        <scheme val="minor"/>
      </rPr>
      <t>X_it</t>
    </r>
    <r>
      <rPr>
        <sz val="11"/>
        <color rgb="FF000000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</si>
  <si>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X_it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Q</t>
    </r>
  </si>
  <si>
    <r>
      <rPr>
        <b/>
        <sz val="11"/>
        <color theme="1"/>
        <rFont val="Calibri"/>
        <family val="2"/>
        <scheme val="minor"/>
      </rPr>
      <t>Q_it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>w_it</t>
    </r>
    <r>
      <rPr>
        <sz val="11"/>
        <color theme="1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Y</t>
    </r>
  </si>
  <si>
    <r>
      <rPr>
        <b/>
        <sz val="11"/>
        <color theme="1"/>
        <rFont val="Calibri"/>
        <family val="2"/>
        <scheme val="minor"/>
      </rPr>
      <t>w_it</t>
    </r>
    <r>
      <rPr>
        <sz val="11"/>
        <color theme="1"/>
        <rFont val="Calibri"/>
        <family val="2"/>
        <scheme val="minor"/>
      </rPr>
      <t xml:space="preserve"> = inv(I-</t>
    </r>
    <r>
      <rPr>
        <b/>
        <sz val="11"/>
        <color theme="1"/>
        <rFont val="Calibri"/>
        <family val="2"/>
        <scheme val="minor"/>
      </rPr>
      <t>u d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</si>
  <si>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rgb="FF000000"/>
        <rFont val="Calibri"/>
        <family val="2"/>
        <scheme val="minor"/>
      </rPr>
      <t>U_pt</t>
    </r>
    <r>
      <rPr>
        <sz val="11"/>
        <color rgb="FF000000"/>
        <rFont val="Calibri"/>
        <family val="2"/>
        <scheme val="minor"/>
      </rPr>
      <t>=</t>
    </r>
    <r>
      <rPr>
        <b/>
        <sz val="11"/>
        <color rgb="FF000000"/>
        <rFont val="Calibri"/>
        <family val="2"/>
        <scheme val="minor"/>
      </rPr>
      <t>u</t>
    </r>
    <r>
      <rPr>
        <sz val="11"/>
        <color rgb="FF000000"/>
        <rFont val="Calibri"/>
        <family val="2"/>
        <scheme val="minor"/>
      </rPr>
      <t>*diag(</t>
    </r>
    <r>
      <rPr>
        <b/>
        <sz val="11"/>
        <color rgb="FF000000"/>
        <rFont val="Calibri"/>
        <family val="2"/>
        <scheme val="minor"/>
      </rPr>
      <t>X_pt</t>
    </r>
    <r>
      <rPr>
        <sz val="11"/>
        <color rgb="FF000000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</si>
  <si>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X_pt</t>
    </r>
    <r>
      <rPr>
        <sz val="11"/>
        <color theme="1"/>
        <rFont val="Calibri"/>
        <family val="2"/>
        <scheme val="minor"/>
      </rPr>
      <t>=inv(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)*</t>
    </r>
    <r>
      <rPr>
        <b/>
        <sz val="11"/>
        <color theme="1"/>
        <rFont val="Calibri"/>
        <family val="2"/>
        <scheme val="minor"/>
      </rPr>
      <t>Q_pt</t>
    </r>
  </si>
  <si>
    <t>3. Calculate the electricity embodied within delivered products by using the two assumptions</t>
  </si>
  <si>
    <r>
      <t>inv(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) </t>
    </r>
  </si>
  <si>
    <t>4. Which assumption provides the more realistic behaviour of the system?</t>
  </si>
  <si>
    <t>scraps</t>
  </si>
  <si>
    <t>2. Calculate market share and product mix matrices. </t>
  </si>
  <si>
    <t>We now have our model. Let's play with the final demand vector</t>
  </si>
  <si>
    <r>
      <t xml:space="preserve">V </t>
    </r>
    <r>
      <rPr>
        <sz val="11"/>
        <color theme="1"/>
        <rFont val="Calibri"/>
        <family val="2"/>
        <scheme val="minor"/>
      </rPr>
      <t xml:space="preserve">=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diag(</t>
    </r>
    <r>
      <rPr>
        <b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)</t>
    </r>
  </si>
  <si>
    <t>R_tot_GHG</t>
  </si>
  <si>
    <t>Y_new = Y(a,b,c) + investments</t>
  </si>
  <si>
    <t>u_new</t>
  </si>
  <si>
    <t>Y_new</t>
  </si>
  <si>
    <r>
      <rPr>
        <sz val="11"/>
        <color theme="1"/>
        <rFont val="Calibri (Body)"/>
      </rPr>
      <t xml:space="preserve">Suggested reading to deepen the topic: </t>
    </r>
    <r>
      <rPr>
        <u/>
        <sz val="11"/>
        <color theme="10"/>
        <rFont val="Calibri"/>
        <family val="2"/>
        <scheme val="minor"/>
      </rPr>
      <t xml:space="preserve">https://doi.org/10.1186/s40008-017-0072-0 </t>
    </r>
  </si>
  <si>
    <t>Go through the supplementary material as well!</t>
  </si>
  <si>
    <t>a) Draw the reference production system (RPS)</t>
  </si>
  <si>
    <t>b) Build the related Supply-Use Table (SUT)</t>
  </si>
  <si>
    <t>c) Calculate the market share and product mix matrices. Comment on the results: what do these two matrices mean?</t>
  </si>
  <si>
    <t>product by product</t>
  </si>
  <si>
    <t>product by technology</t>
  </si>
  <si>
    <t>technology by product</t>
  </si>
  <si>
    <t>technology by technology</t>
  </si>
  <si>
    <t>industry-based technology assumption</t>
  </si>
  <si>
    <t>w = inv(I - z)</t>
  </si>
  <si>
    <t>product-based technology assumption</t>
  </si>
  <si>
    <t>c is not invertible!</t>
  </si>
  <si>
    <t xml:space="preserve">Suggested reading: Lenzen and Rueda Cantuce, 2012. https://core.ac.uk/download/pdf/13324962.pdf </t>
  </si>
  <si>
    <t>IOT approach: you can treat a SUT with the same math as a IOT</t>
  </si>
  <si>
    <t>d) Calculate the Leontief Inverse matrix (or matrices?)</t>
  </si>
  <si>
    <t>e) Calculate PBA and CBA environmental coefficients</t>
  </si>
  <si>
    <t>CO2 emissions</t>
  </si>
  <si>
    <t>PBA</t>
  </si>
  <si>
    <t>CBA</t>
  </si>
  <si>
    <t>exploding impact by origin activity</t>
  </si>
  <si>
    <t>Extra. Calculate footprint and price of steelmaking technologies</t>
  </si>
  <si>
    <t>R_e = r_e diag(Y_tot)</t>
  </si>
  <si>
    <t>€</t>
  </si>
  <si>
    <t>N.B. This decomposition of the Leontief inverse matrix goes beyond the scope of the course (only wcc is required), but it may be useful for your projects.</t>
  </si>
  <si>
    <t>wcc = inv(I-u d)</t>
  </si>
  <si>
    <t>wac = inv(I - du) d</t>
  </si>
  <si>
    <t>waa = inv(I - du)</t>
  </si>
  <si>
    <t>wca = inv(I - ud) u</t>
  </si>
  <si>
    <t>wca = inv(I-u inv(c))</t>
  </si>
  <si>
    <t>Q_pt=wca*Y</t>
  </si>
  <si>
    <t>for commodities: f = r d wcc</t>
  </si>
  <si>
    <r>
      <rPr>
        <sz val="11"/>
        <color theme="1"/>
        <rFont val="Calibri"/>
        <family val="2"/>
        <scheme val="minor"/>
      </rPr>
      <t>for activities:</t>
    </r>
    <r>
      <rPr>
        <b/>
        <sz val="11"/>
        <color theme="1"/>
        <rFont val="Calibri"/>
        <family val="2"/>
        <scheme val="minor"/>
      </rPr>
      <t xml:space="preserve"> f = r waa</t>
    </r>
  </si>
  <si>
    <t>f_ex = diag(e) d wcc</t>
  </si>
  <si>
    <t>f_ex = diag(e) waa</t>
  </si>
  <si>
    <t>S</t>
  </si>
  <si>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=S</t>
    </r>
    <r>
      <rPr>
        <b/>
        <sz val="11"/>
        <color theme="1"/>
        <rFont val="Calibri"/>
        <family val="2"/>
        <scheme val="minor"/>
      </rPr>
      <t>'</t>
    </r>
    <r>
      <rPr>
        <sz val="11"/>
        <color theme="1"/>
        <rFont val="Calibri"/>
        <family val="2"/>
        <scheme val="minor"/>
      </rPr>
      <t>*inv(diag(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))</t>
    </r>
  </si>
  <si>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*inv(diag(</t>
    </r>
    <r>
      <rPr>
        <b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)</t>
    </r>
  </si>
  <si>
    <t>E</t>
  </si>
  <si>
    <r>
      <t>e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inv(diag(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))</t>
    </r>
  </si>
  <si>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>S'</t>
    </r>
    <r>
      <rPr>
        <sz val="11"/>
        <color theme="1"/>
        <rFont val="Calibri"/>
        <family val="2"/>
        <scheme val="minor"/>
      </rPr>
      <t>*inv(diag(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))</t>
    </r>
  </si>
  <si>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*inv(diag(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))</t>
    </r>
  </si>
  <si>
    <r>
      <t>f_it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r d w_it</t>
    </r>
  </si>
  <si>
    <t>f_pt = r inv(c) wca</t>
  </si>
  <si>
    <t>e</t>
  </si>
  <si>
    <r>
      <rPr>
        <b/>
        <sz val="11"/>
        <color theme="1"/>
        <rFont val="Calibri"/>
        <family val="2"/>
        <scheme val="minor"/>
      </rPr>
      <t>S_it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diag(Q</t>
    </r>
    <r>
      <rPr>
        <b/>
        <sz val="11"/>
        <color theme="1"/>
        <rFont val="Calibri"/>
        <family val="2"/>
        <scheme val="minor"/>
      </rPr>
      <t>_it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</si>
  <si>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rgb="FF000000"/>
        <rFont val="Calibri"/>
        <family val="2"/>
        <scheme val="minor"/>
      </rPr>
      <t>E_it</t>
    </r>
    <r>
      <rPr>
        <sz val="11"/>
        <color rgb="FF000000"/>
        <rFont val="Calibri"/>
        <family val="2"/>
        <scheme val="minor"/>
      </rPr>
      <t>=</t>
    </r>
    <r>
      <rPr>
        <b/>
        <sz val="11"/>
        <color rgb="FF000000"/>
        <rFont val="Calibri"/>
        <family val="2"/>
        <scheme val="minor"/>
      </rPr>
      <t>r</t>
    </r>
    <r>
      <rPr>
        <sz val="11"/>
        <color rgb="FF000000"/>
        <rFont val="Calibri"/>
        <family val="2"/>
        <scheme val="minor"/>
      </rPr>
      <t>*diag(</t>
    </r>
    <r>
      <rPr>
        <b/>
        <sz val="11"/>
        <color rgb="FF000000"/>
        <rFont val="Calibri"/>
        <family val="2"/>
        <scheme val="minor"/>
      </rPr>
      <t>X_it</t>
    </r>
    <r>
      <rPr>
        <sz val="11"/>
        <color rgb="FF000000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</si>
  <si>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S_pt</t>
    </r>
    <r>
      <rPr>
        <sz val="11"/>
        <color theme="1"/>
        <rFont val="Calibri"/>
        <family val="2"/>
        <scheme val="minor"/>
      </rPr>
      <t>=(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*diag(</t>
    </r>
    <r>
      <rPr>
        <b/>
        <sz val="11"/>
        <color theme="1"/>
        <rFont val="Calibri"/>
        <family val="2"/>
        <scheme val="minor"/>
      </rPr>
      <t>X_pt)</t>
    </r>
    <r>
      <rPr>
        <sz val="11"/>
        <color theme="1"/>
        <rFont val="Calibri"/>
        <family val="2"/>
        <scheme val="minor"/>
      </rPr>
      <t>)'</t>
    </r>
  </si>
  <si>
    <r>
      <rPr>
        <b/>
        <sz val="11"/>
        <color rgb="FF000000"/>
        <rFont val="Calibri"/>
        <family val="2"/>
        <scheme val="minor"/>
      </rPr>
      <t>E_pt</t>
    </r>
    <r>
      <rPr>
        <sz val="11"/>
        <color rgb="FF000000"/>
        <rFont val="Calibri"/>
        <family val="2"/>
        <scheme val="minor"/>
      </rPr>
      <t>=</t>
    </r>
    <r>
      <rPr>
        <b/>
        <sz val="11"/>
        <color rgb="FF000000"/>
        <rFont val="Calibri"/>
        <family val="2"/>
        <scheme val="minor"/>
      </rPr>
      <t>r</t>
    </r>
    <r>
      <rPr>
        <sz val="11"/>
        <color rgb="FF000000"/>
        <rFont val="Calibri"/>
        <family val="2"/>
        <scheme val="minor"/>
      </rPr>
      <t>*diag(</t>
    </r>
    <r>
      <rPr>
        <b/>
        <sz val="11"/>
        <color rgb="FF000000"/>
        <rFont val="Calibri"/>
        <family val="2"/>
        <scheme val="minor"/>
      </rPr>
      <t>X_pt</t>
    </r>
    <r>
      <rPr>
        <sz val="11"/>
        <color rgb="FF000000"/>
        <rFont val="Calibri"/>
        <family val="2"/>
        <scheme val="minor"/>
      </rPr>
      <t>)</t>
    </r>
  </si>
  <si>
    <t>E_tot_it = sum(E_it)</t>
  </si>
  <si>
    <t>E_tot_pt = sum(E_pt)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</si>
</sst>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;\-0;\-"/>
    <numFmt numFmtId="165" formatCode="0.00;\-0.00;\-"/>
    <numFmt numFmtId="166" formatCode="0.0"/>
    <numFmt numFmtId="167" formatCode="0.0E+00"/>
    <numFmt numFmtId="168" formatCode="0E+00"/>
    <numFmt numFmtId="169" formatCode="0.000"/>
    <numFmt numFmtId="170" formatCode="0.0000"/>
  </numFmts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u/>
      <sz val="11"/>
      <color theme="1"/>
      <name val="Calibri (Body)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(Body)"/>
    </font>
    <font>
      <i/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textRotation="30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1" fontId="0" fillId="0" borderId="0" xfId="0" applyNumberFormat="1"/>
    <xf numFmtId="168" fontId="0" fillId="2" borderId="0" xfId="0" applyNumberFormat="1" applyFill="1"/>
    <xf numFmtId="167" fontId="0" fillId="2" borderId="0" xfId="0" applyNumberFormat="1" applyFill="1"/>
    <xf numFmtId="168" fontId="0" fillId="2" borderId="5" xfId="0" applyNumberFormat="1" applyFill="1" applyBorder="1"/>
    <xf numFmtId="167" fontId="0" fillId="2" borderId="5" xfId="0" applyNumberFormat="1" applyFill="1" applyBorder="1"/>
    <xf numFmtId="168" fontId="0" fillId="2" borderId="7" xfId="0" applyNumberFormat="1" applyFill="1" applyBorder="1"/>
    <xf numFmtId="168" fontId="0" fillId="2" borderId="8" xfId="0" applyNumberFormat="1" applyFill="1" applyBorder="1"/>
    <xf numFmtId="168" fontId="0" fillId="0" borderId="0" xfId="0" applyNumberFormat="1"/>
    <xf numFmtId="168" fontId="0" fillId="4" borderId="0" xfId="0" applyNumberFormat="1" applyFill="1"/>
    <xf numFmtId="168" fontId="0" fillId="4" borderId="7" xfId="0" applyNumberFormat="1" applyFill="1" applyBorder="1"/>
    <xf numFmtId="168" fontId="0" fillId="3" borderId="0" xfId="0" applyNumberFormat="1" applyFill="1"/>
    <xf numFmtId="168" fontId="0" fillId="3" borderId="5" xfId="0" applyNumberFormat="1" applyFill="1" applyBorder="1"/>
    <xf numFmtId="168" fontId="0" fillId="3" borderId="7" xfId="0" applyNumberFormat="1" applyFill="1" applyBorder="1"/>
    <xf numFmtId="168" fontId="0" fillId="3" borderId="8" xfId="0" applyNumberFormat="1" applyFill="1" applyBorder="1"/>
    <xf numFmtId="0" fontId="0" fillId="3" borderId="0" xfId="0" applyFill="1"/>
    <xf numFmtId="0" fontId="0" fillId="3" borderId="5" xfId="0" applyFill="1" applyBorder="1"/>
    <xf numFmtId="2" fontId="0" fillId="2" borderId="0" xfId="0" applyNumberFormat="1" applyFill="1"/>
    <xf numFmtId="2" fontId="0" fillId="2" borderId="5" xfId="0" applyNumberFormat="1" applyFill="1" applyBorder="1"/>
    <xf numFmtId="2" fontId="0" fillId="2" borderId="7" xfId="0" applyNumberFormat="1" applyFill="1" applyBorder="1"/>
    <xf numFmtId="2" fontId="0" fillId="2" borderId="8" xfId="0" applyNumberFormat="1" applyFill="1" applyBorder="1"/>
    <xf numFmtId="169" fontId="0" fillId="2" borderId="0" xfId="0" applyNumberFormat="1" applyFill="1"/>
    <xf numFmtId="169" fontId="0" fillId="2" borderId="5" xfId="0" applyNumberFormat="1" applyFill="1" applyBorder="1"/>
    <xf numFmtId="2" fontId="1" fillId="2" borderId="0" xfId="0" applyNumberFormat="1" applyFont="1" applyFill="1"/>
    <xf numFmtId="2" fontId="1" fillId="2" borderId="7" xfId="0" applyNumberFormat="1" applyFont="1" applyFill="1" applyBorder="1"/>
    <xf numFmtId="169" fontId="1" fillId="2" borderId="0" xfId="0" applyNumberFormat="1" applyFont="1" applyFill="1"/>
    <xf numFmtId="2" fontId="1" fillId="2" borderId="5" xfId="0" applyNumberFormat="1" applyFont="1" applyFill="1" applyBorder="1"/>
    <xf numFmtId="0" fontId="0" fillId="4" borderId="0" xfId="0" applyFill="1"/>
    <xf numFmtId="166" fontId="0" fillId="4" borderId="0" xfId="0" applyNumberFormat="1" applyFill="1"/>
    <xf numFmtId="0" fontId="5" fillId="0" borderId="0" xfId="0" applyFont="1" applyAlignment="1">
      <alignment vertical="center"/>
    </xf>
    <xf numFmtId="0" fontId="6" fillId="0" borderId="2" xfId="0" applyFont="1" applyBorder="1"/>
    <xf numFmtId="0" fontId="0" fillId="0" borderId="2" xfId="0" applyBorder="1"/>
    <xf numFmtId="2" fontId="0" fillId="3" borderId="0" xfId="0" applyNumberFormat="1" applyFill="1"/>
    <xf numFmtId="169" fontId="0" fillId="3" borderId="0" xfId="0" applyNumberFormat="1" applyFill="1"/>
    <xf numFmtId="2" fontId="0" fillId="0" borderId="0" xfId="0" applyNumberFormat="1"/>
    <xf numFmtId="166" fontId="0" fillId="3" borderId="0" xfId="0" applyNumberFormat="1" applyFill="1"/>
    <xf numFmtId="0" fontId="6" fillId="0" borderId="0" xfId="0" applyFont="1"/>
    <xf numFmtId="0" fontId="0" fillId="4" borderId="5" xfId="0" applyFill="1" applyBorder="1"/>
    <xf numFmtId="0" fontId="0" fillId="4" borderId="2" xfId="0" applyFill="1" applyBorder="1"/>
    <xf numFmtId="0" fontId="0" fillId="4" borderId="3" xfId="0" applyFill="1" applyBorder="1"/>
    <xf numFmtId="2" fontId="0" fillId="3" borderId="5" xfId="0" applyNumberFormat="1" applyFill="1" applyBorder="1"/>
    <xf numFmtId="10" fontId="4" fillId="0" borderId="0" xfId="1" applyNumberFormat="1" applyFont="1"/>
    <xf numFmtId="10" fontId="4" fillId="0" borderId="0" xfId="1" applyNumberFormat="1" applyFont="1" applyFill="1"/>
    <xf numFmtId="1" fontId="0" fillId="2" borderId="5" xfId="0" applyNumberFormat="1" applyFill="1" applyBorder="1"/>
    <xf numFmtId="168" fontId="1" fillId="2" borderId="0" xfId="0" applyNumberFormat="1" applyFont="1" applyFill="1"/>
    <xf numFmtId="168" fontId="0" fillId="0" borderId="7" xfId="0" applyNumberFormat="1" applyBorder="1"/>
    <xf numFmtId="167" fontId="0" fillId="0" borderId="0" xfId="0" applyNumberFormat="1"/>
    <xf numFmtId="164" fontId="0" fillId="0" borderId="0" xfId="0" applyNumberFormat="1"/>
    <xf numFmtId="164" fontId="0" fillId="4" borderId="0" xfId="0" applyNumberFormat="1" applyFill="1"/>
    <xf numFmtId="164" fontId="0" fillId="0" borderId="0" xfId="0" applyNumberFormat="1" applyAlignment="1">
      <alignment textRotation="15"/>
    </xf>
    <xf numFmtId="164" fontId="0" fillId="0" borderId="0" xfId="0" applyNumberFormat="1" applyAlignment="1">
      <alignment textRotation="90" wrapText="1"/>
    </xf>
    <xf numFmtId="164" fontId="2" fillId="0" borderId="0" xfId="0" applyNumberFormat="1" applyFont="1"/>
    <xf numFmtId="164" fontId="0" fillId="2" borderId="0" xfId="0" applyNumberFormat="1" applyFill="1"/>
    <xf numFmtId="164" fontId="4" fillId="0" borderId="0" xfId="0" applyNumberFormat="1" applyFont="1"/>
    <xf numFmtId="0" fontId="4" fillId="0" borderId="0" xfId="0" applyFont="1"/>
    <xf numFmtId="165" fontId="0" fillId="3" borderId="0" xfId="0" applyNumberFormat="1" applyFill="1"/>
    <xf numFmtId="0" fontId="0" fillId="0" borderId="0" xfId="0" applyAlignment="1">
      <alignment textRotation="15"/>
    </xf>
    <xf numFmtId="0" fontId="0" fillId="2" borderId="0" xfId="0" applyFill="1"/>
    <xf numFmtId="164" fontId="7" fillId="0" borderId="0" xfId="0" applyNumberFormat="1" applyFont="1"/>
    <xf numFmtId="164" fontId="0" fillId="0" borderId="0" xfId="0" applyNumberFormat="1" applyAlignment="1">
      <alignment horizontal="left"/>
    </xf>
    <xf numFmtId="0" fontId="4" fillId="0" borderId="2" xfId="0" applyFont="1" applyBorder="1"/>
    <xf numFmtId="2" fontId="0" fillId="4" borderId="0" xfId="0" applyNumberFormat="1" applyFill="1"/>
    <xf numFmtId="168" fontId="1" fillId="0" borderId="0" xfId="0" applyNumberFormat="1" applyFont="1"/>
    <xf numFmtId="9" fontId="0" fillId="0" borderId="9" xfId="0" applyNumberFormat="1" applyBorder="1"/>
    <xf numFmtId="170" fontId="1" fillId="4" borderId="0" xfId="0" applyNumberFormat="1" applyFont="1" applyFill="1"/>
    <xf numFmtId="165" fontId="0" fillId="4" borderId="0" xfId="0" applyNumberFormat="1" applyFill="1"/>
    <xf numFmtId="165" fontId="0" fillId="2" borderId="0" xfId="0" applyNumberFormat="1" applyFill="1"/>
    <xf numFmtId="164" fontId="0" fillId="3" borderId="0" xfId="0" applyNumberFormat="1" applyFill="1"/>
    <xf numFmtId="165" fontId="0" fillId="0" borderId="0" xfId="0" applyNumberFormat="1"/>
    <xf numFmtId="0" fontId="0" fillId="0" borderId="5" xfId="0" applyBorder="1"/>
    <xf numFmtId="164" fontId="0" fillId="0" borderId="5" xfId="0" applyNumberFormat="1" applyBorder="1"/>
    <xf numFmtId="164" fontId="1" fillId="2" borderId="0" xfId="0" applyNumberFormat="1" applyFont="1" applyFill="1"/>
    <xf numFmtId="0" fontId="2" fillId="0" borderId="0" xfId="0" applyFont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/>
    </xf>
    <xf numFmtId="165" fontId="9" fillId="3" borderId="0" xfId="0" applyNumberFormat="1" applyFont="1" applyFill="1"/>
    <xf numFmtId="0" fontId="2" fillId="0" borderId="0" xfId="0" applyFont="1" applyAlignment="1">
      <alignment horizontal="center" wrapText="1"/>
    </xf>
    <xf numFmtId="168" fontId="1" fillId="4" borderId="5" xfId="0" applyNumberFormat="1" applyFont="1" applyFill="1" applyBorder="1"/>
    <xf numFmtId="168" fontId="1" fillId="4" borderId="8" xfId="0" applyNumberFormat="1" applyFont="1" applyFill="1" applyBorder="1"/>
    <xf numFmtId="0" fontId="10" fillId="0" borderId="0" xfId="2"/>
    <xf numFmtId="164" fontId="4" fillId="0" borderId="7" xfId="0" applyNumberFormat="1" applyFont="1" applyBorder="1"/>
    <xf numFmtId="164" fontId="0" fillId="0" borderId="7" xfId="0" applyNumberFormat="1" applyBorder="1"/>
    <xf numFmtId="0" fontId="0" fillId="0" borderId="7" xfId="0" applyBorder="1"/>
    <xf numFmtId="0" fontId="2" fillId="0" borderId="0" xfId="0" applyFont="1" applyAlignment="1">
      <alignment horizontal="center"/>
    </xf>
    <xf numFmtId="165" fontId="0" fillId="4" borderId="7" xfId="0" applyNumberFormat="1" applyFill="1" applyBorder="1"/>
    <xf numFmtId="165" fontId="0" fillId="4" borderId="5" xfId="0" applyNumberFormat="1" applyFill="1" applyBorder="1"/>
    <xf numFmtId="165" fontId="0" fillId="4" borderId="8" xfId="0" applyNumberFormat="1" applyFill="1" applyBorder="1"/>
    <xf numFmtId="165" fontId="0" fillId="3" borderId="1" xfId="0" applyNumberFormat="1" applyFill="1" applyBorder="1"/>
    <xf numFmtId="165" fontId="0" fillId="3" borderId="2" xfId="0" applyNumberFormat="1" applyFill="1" applyBorder="1"/>
    <xf numFmtId="165" fontId="0" fillId="3" borderId="3" xfId="0" applyNumberFormat="1" applyFill="1" applyBorder="1"/>
    <xf numFmtId="165" fontId="0" fillId="3" borderId="4" xfId="0" applyNumberFormat="1" applyFill="1" applyBorder="1"/>
    <xf numFmtId="165" fontId="0" fillId="3" borderId="5" xfId="0" applyNumberFormat="1" applyFill="1" applyBorder="1"/>
    <xf numFmtId="165" fontId="0" fillId="3" borderId="6" xfId="0" applyNumberFormat="1" applyFill="1" applyBorder="1"/>
    <xf numFmtId="165" fontId="0" fillId="3" borderId="7" xfId="0" applyNumberFormat="1" applyFill="1" applyBorder="1"/>
    <xf numFmtId="165" fontId="0" fillId="3" borderId="8" xfId="0" applyNumberFormat="1" applyFill="1" applyBorder="1"/>
    <xf numFmtId="0" fontId="12" fillId="0" borderId="0" xfId="2" applyFont="1"/>
    <xf numFmtId="164" fontId="0" fillId="0" borderId="0" xfId="0" applyNumberFormat="1" applyAlignment="1">
      <alignment horizontal="center" textRotation="15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0" borderId="5" xfId="0" applyBorder="1" applyAlignment="1">
      <alignment horizontal="center"/>
    </xf>
    <xf numFmtId="0" fontId="13" fillId="0" borderId="0" xfId="0" applyFont="1"/>
    <xf numFmtId="169" fontId="0" fillId="3" borderId="5" xfId="0" applyNumberFormat="1" applyFill="1" applyBorder="1"/>
    <xf numFmtId="1" fontId="0" fillId="3" borderId="0" xfId="0" applyNumberFormat="1" applyFill="1"/>
    <xf numFmtId="1" fontId="0" fillId="3" borderId="5" xfId="0" applyNumberFormat="1" applyFill="1" applyBorder="1"/>
    <xf numFmtId="10" fontId="0" fillId="0" borderId="0" xfId="1" applyNumberFormat="1" applyFont="1"/>
    <xf numFmtId="0" fontId="2" fillId="0" borderId="0" xfId="0" applyFont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1">
    <dxf>
      <font>
        <color rgb="FFFF0000"/>
      </font>
    </dxf>
  </dxfs>
  <tableStyles count="0" defaultTableStyle="TableStyleMedium2" defaultPivotStyle="PivotStyleMedium9"/>
  <colors>
    <mruColors>
      <color rgb="FFFF99FF"/>
      <color rgb="FFFFCCFF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EU27, green steel,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'Ex. 3d'!$D$55</c:f>
              <c:strCache>
                <c:ptCount val="1"/>
                <c:pt idx="0">
                  <c:v>Prices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'Ex. 3d'!$AN$55</c:f>
              <c:numCache>
                <c:formatCode>0.00%</c:formatCode>
                <c:ptCount val="1"/>
                <c:pt idx="0">
                  <c:v>1.4220945482653277E-2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8-6141-96D2-54023E406267}"/>
            </c:ext>
          </c:extLst>
        </c:ser>
        <c:ser>
          <c:idx val="1"/>
          <c:order val="1"/>
          <c:tx>
            <c:strRef>
              <c:f>'Ex. 3d'!$D$56</c:f>
              <c:strCache>
                <c:ptCount val="1"/>
                <c:pt idx="0">
                  <c:v>GHG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'Ex. 3d'!$AN$56</c:f>
              <c:numCache>
                <c:formatCode>0.00%</c:formatCode>
                <c:ptCount val="1"/>
                <c:pt idx="0">
                  <c:v>-0.145983013549109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48-6141-96D2-54023E40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87872"/>
        <c:axId val="294953200"/>
      </c:barChart>
      <c:catAx>
        <c:axId val="2951878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94953200"/>
        <c:crosses val="autoZero"/>
        <c:auto val="1"/>
        <c:lblAlgn val="ctr"/>
        <c:lblOffset val="100"/>
        <c:noMultiLvlLbl val="0"/>
      </c:catAx>
      <c:valAx>
        <c:axId val="294953200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51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EU27, offshoring,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'Ex. 3d'!$D$55</c:f>
              <c:strCache>
                <c:ptCount val="1"/>
                <c:pt idx="0">
                  <c:v>Prices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'Ex. 3d'!$AR$55</c:f>
              <c:numCache>
                <c:formatCode>0.00%</c:formatCode>
                <c:ptCount val="1"/>
                <c:pt idx="0">
                  <c:v>-1.6508003279093242E-2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1-7543-9AD1-EDB25BA65163}"/>
            </c:ext>
          </c:extLst>
        </c:ser>
        <c:ser>
          <c:idx val="1"/>
          <c:order val="1"/>
          <c:tx>
            <c:strRef>
              <c:f>'Ex. 3d'!$D$56</c:f>
              <c:strCache>
                <c:ptCount val="1"/>
                <c:pt idx="0">
                  <c:v>GHG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'Ex. 3d'!$AR$56</c:f>
              <c:numCache>
                <c:formatCode>0.00%</c:formatCode>
                <c:ptCount val="1"/>
                <c:pt idx="0">
                  <c:v>1.5170500340117559E-2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71-7543-9AD1-EDB25BA65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87872"/>
        <c:axId val="294953200"/>
      </c:barChart>
      <c:catAx>
        <c:axId val="2951878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94953200"/>
        <c:crosses val="autoZero"/>
        <c:auto val="1"/>
        <c:lblAlgn val="ctr"/>
        <c:lblOffset val="100"/>
        <c:noMultiLvlLbl val="0"/>
      </c:catAx>
      <c:valAx>
        <c:axId val="294953200"/>
        <c:scaling>
          <c:orientation val="minMax"/>
          <c:max val="0.2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51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EU27, green steel, technology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'Ex. 3d'!$D$55</c:f>
              <c:strCache>
                <c:ptCount val="1"/>
                <c:pt idx="0">
                  <c:v>Prices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'Ex. 3d'!$AN$60:$AO$60</c:f>
              <c:strCache>
                <c:ptCount val="2"/>
                <c:pt idx="0">
                  <c:v>trad</c:v>
                </c:pt>
                <c:pt idx="1">
                  <c:v>green</c:v>
                </c:pt>
              </c:strCache>
            </c:strRef>
          </c:cat>
          <c:val>
            <c:numRef>
              <c:f>'Ex. 3d'!$AN$61:$AO$61</c:f>
              <c:numCache>
                <c:formatCode>0.00%</c:formatCode>
                <c:ptCount val="2"/>
                <c:pt idx="0">
                  <c:v>1.5454405720417941E-3</c:v>
                </c:pt>
                <c:pt idx="1">
                  <c:v>1.4944546498681793E-3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7-E64E-81A6-5EAF0725CE0A}"/>
            </c:ext>
          </c:extLst>
        </c:ser>
        <c:ser>
          <c:idx val="1"/>
          <c:order val="1"/>
          <c:tx>
            <c:strRef>
              <c:f>'Ex. 3d'!$D$56</c:f>
              <c:strCache>
                <c:ptCount val="1"/>
                <c:pt idx="0">
                  <c:v>GHG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'Ex. 3d'!$AN$60:$AO$60</c:f>
              <c:strCache>
                <c:ptCount val="2"/>
                <c:pt idx="0">
                  <c:v>trad</c:v>
                </c:pt>
                <c:pt idx="1">
                  <c:v>green</c:v>
                </c:pt>
              </c:strCache>
            </c:strRef>
          </c:cat>
          <c:val>
            <c:numRef>
              <c:f>'Ex. 3d'!$AN$62:$AO$62</c:f>
              <c:numCache>
                <c:formatCode>0.00%</c:formatCode>
                <c:ptCount val="2"/>
                <c:pt idx="0">
                  <c:v>-1.5864491727245179E-2</c:v>
                </c:pt>
                <c:pt idx="1">
                  <c:v>-2.3459441610975851E-2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7-E64E-81A6-5EAF0725C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87872"/>
        <c:axId val="294953200"/>
      </c:barChart>
      <c:catAx>
        <c:axId val="29518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4953200"/>
        <c:crosses val="autoZero"/>
        <c:auto val="1"/>
        <c:lblAlgn val="ctr"/>
        <c:lblOffset val="100"/>
        <c:noMultiLvlLbl val="0"/>
      </c:catAx>
      <c:valAx>
        <c:axId val="294953200"/>
        <c:scaling>
          <c:orientation val="minMax"/>
          <c:max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51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EU27, offshoring, technology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'Ex. 3d'!$D$55</c:f>
              <c:strCache>
                <c:ptCount val="1"/>
                <c:pt idx="0">
                  <c:v>Prices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'Ex. 3d'!$AR$60:$AS$60</c:f>
              <c:strCache>
                <c:ptCount val="2"/>
                <c:pt idx="0">
                  <c:v>trad</c:v>
                </c:pt>
                <c:pt idx="1">
                  <c:v>green</c:v>
                </c:pt>
              </c:strCache>
            </c:strRef>
          </c:cat>
          <c:val>
            <c:numRef>
              <c:f>'Ex. 3d'!$AR$61:$AS$61</c:f>
              <c:numCache>
                <c:formatCode>0.00%</c:formatCode>
                <c:ptCount val="2"/>
                <c:pt idx="0">
                  <c:v>-1.6508003279073438E-2</c:v>
                </c:pt>
                <c:pt idx="1">
                  <c:v>-1.5963384621099051E-2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B-354E-B6FE-74DFD819E280}"/>
            </c:ext>
          </c:extLst>
        </c:ser>
        <c:ser>
          <c:idx val="1"/>
          <c:order val="1"/>
          <c:tx>
            <c:strRef>
              <c:f>'Ex. 3d'!$D$56</c:f>
              <c:strCache>
                <c:ptCount val="1"/>
                <c:pt idx="0">
                  <c:v>GHG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'Ex. 3d'!$AR$60:$AS$60</c:f>
              <c:strCache>
                <c:ptCount val="2"/>
                <c:pt idx="0">
                  <c:v>trad</c:v>
                </c:pt>
                <c:pt idx="1">
                  <c:v>green</c:v>
                </c:pt>
              </c:strCache>
            </c:strRef>
          </c:cat>
          <c:val>
            <c:numRef>
              <c:f>'Ex. 3d'!$AR$62:$AS$62</c:f>
              <c:numCache>
                <c:formatCode>0.00%</c:formatCode>
                <c:ptCount val="2"/>
                <c:pt idx="0">
                  <c:v>1.5170500340129208E-2</c:v>
                </c:pt>
                <c:pt idx="1">
                  <c:v>2.243320952581648E-2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B-354E-B6FE-74DFD819E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87872"/>
        <c:axId val="294953200"/>
      </c:barChart>
      <c:catAx>
        <c:axId val="29518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4953200"/>
        <c:crosses val="autoZero"/>
        <c:auto val="1"/>
        <c:lblAlgn val="ctr"/>
        <c:lblOffset val="100"/>
        <c:noMultiLvlLbl val="0"/>
      </c:catAx>
      <c:valAx>
        <c:axId val="294953200"/>
        <c:scaling>
          <c:orientation val="minMax"/>
          <c:max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51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EU27, green steel,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'Ex. 3e'!$D$55</c:f>
              <c:strCache>
                <c:ptCount val="1"/>
                <c:pt idx="0">
                  <c:v>Prices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'Ex. 3e'!$AR$55</c:f>
              <c:numCache>
                <c:formatCode>0.00%</c:formatCode>
                <c:ptCount val="1"/>
                <c:pt idx="0">
                  <c:v>1.4220945482653277E-2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A-1D48-A223-401129DE5D6C}"/>
            </c:ext>
          </c:extLst>
        </c:ser>
        <c:ser>
          <c:idx val="1"/>
          <c:order val="1"/>
          <c:tx>
            <c:strRef>
              <c:f>'Ex. 3e'!$D$56</c:f>
              <c:strCache>
                <c:ptCount val="1"/>
                <c:pt idx="0">
                  <c:v>GHG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'Ex. 3e'!$AR$56</c:f>
              <c:numCache>
                <c:formatCode>0.00%</c:formatCode>
                <c:ptCount val="1"/>
                <c:pt idx="0">
                  <c:v>-0.145983013549109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9A-1D48-A223-401129DE5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87872"/>
        <c:axId val="294953200"/>
      </c:barChart>
      <c:catAx>
        <c:axId val="2951878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94953200"/>
        <c:crosses val="autoZero"/>
        <c:auto val="1"/>
        <c:lblAlgn val="ctr"/>
        <c:lblOffset val="100"/>
        <c:noMultiLvlLbl val="0"/>
      </c:catAx>
      <c:valAx>
        <c:axId val="294953200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51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EU27, offshoring,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'Ex. 3e'!$D$55</c:f>
              <c:strCache>
                <c:ptCount val="1"/>
                <c:pt idx="0">
                  <c:v>Prices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'Ex. 3e'!$AV$55</c:f>
              <c:numCache>
                <c:formatCode>0.00%</c:formatCode>
                <c:ptCount val="1"/>
                <c:pt idx="0">
                  <c:v>-1.6508003279093242E-2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2-DE4B-82B2-C3BE11105C38}"/>
            </c:ext>
          </c:extLst>
        </c:ser>
        <c:ser>
          <c:idx val="1"/>
          <c:order val="1"/>
          <c:tx>
            <c:strRef>
              <c:f>'Ex. 3e'!$D$56</c:f>
              <c:strCache>
                <c:ptCount val="1"/>
                <c:pt idx="0">
                  <c:v>GHG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'Ex. 3e'!$AV$56</c:f>
              <c:numCache>
                <c:formatCode>0.00%</c:formatCode>
                <c:ptCount val="1"/>
                <c:pt idx="0">
                  <c:v>1.5170500340117559E-2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2-DE4B-82B2-C3BE11105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87872"/>
        <c:axId val="294953200"/>
      </c:barChart>
      <c:catAx>
        <c:axId val="2951878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94953200"/>
        <c:crosses val="autoZero"/>
        <c:auto val="1"/>
        <c:lblAlgn val="ctr"/>
        <c:lblOffset val="100"/>
        <c:noMultiLvlLbl val="0"/>
      </c:catAx>
      <c:valAx>
        <c:axId val="294953200"/>
        <c:scaling>
          <c:orientation val="minMax"/>
          <c:max val="0.2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51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EU27, green steel, technology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'Ex. 3e'!$D$55</c:f>
              <c:strCache>
                <c:ptCount val="1"/>
                <c:pt idx="0">
                  <c:v>Prices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'Ex. 3e'!$AR$60:$AS$60</c:f>
              <c:strCache>
                <c:ptCount val="2"/>
                <c:pt idx="0">
                  <c:v>trad</c:v>
                </c:pt>
                <c:pt idx="1">
                  <c:v>green</c:v>
                </c:pt>
              </c:strCache>
            </c:strRef>
          </c:cat>
          <c:val>
            <c:numRef>
              <c:f>'Ex. 3e'!$AR$61:$AS$61</c:f>
              <c:numCache>
                <c:formatCode>0.00%</c:formatCode>
                <c:ptCount val="2"/>
                <c:pt idx="0">
                  <c:v>1.5454405720417941E-3</c:v>
                </c:pt>
                <c:pt idx="1">
                  <c:v>1.4944546498681793E-3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D-4847-B2BD-65BDEBF9F277}"/>
            </c:ext>
          </c:extLst>
        </c:ser>
        <c:ser>
          <c:idx val="1"/>
          <c:order val="1"/>
          <c:tx>
            <c:strRef>
              <c:f>'Ex. 3e'!$D$56</c:f>
              <c:strCache>
                <c:ptCount val="1"/>
                <c:pt idx="0">
                  <c:v>GHG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'Ex. 3e'!$AR$60:$AS$60</c:f>
              <c:strCache>
                <c:ptCount val="2"/>
                <c:pt idx="0">
                  <c:v>trad</c:v>
                </c:pt>
                <c:pt idx="1">
                  <c:v>green</c:v>
                </c:pt>
              </c:strCache>
            </c:strRef>
          </c:cat>
          <c:val>
            <c:numRef>
              <c:f>'Ex. 3e'!$AR$62:$AS$62</c:f>
              <c:numCache>
                <c:formatCode>0.00%</c:formatCode>
                <c:ptCount val="2"/>
                <c:pt idx="0">
                  <c:v>-1.5864491727245179E-2</c:v>
                </c:pt>
                <c:pt idx="1">
                  <c:v>-2.3459441610975851E-2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D-4847-B2BD-65BDEBF9F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87872"/>
        <c:axId val="294953200"/>
      </c:barChart>
      <c:catAx>
        <c:axId val="29518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4953200"/>
        <c:crosses val="autoZero"/>
        <c:auto val="1"/>
        <c:lblAlgn val="ctr"/>
        <c:lblOffset val="100"/>
        <c:noMultiLvlLbl val="0"/>
      </c:catAx>
      <c:valAx>
        <c:axId val="294953200"/>
        <c:scaling>
          <c:orientation val="minMax"/>
          <c:max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51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EU27, offshoring, technology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'Ex. 3e'!$D$55</c:f>
              <c:strCache>
                <c:ptCount val="1"/>
                <c:pt idx="0">
                  <c:v>Prices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'Ex. 3e'!$AV$60:$AW$60</c:f>
              <c:strCache>
                <c:ptCount val="2"/>
                <c:pt idx="0">
                  <c:v>trad</c:v>
                </c:pt>
                <c:pt idx="1">
                  <c:v>green</c:v>
                </c:pt>
              </c:strCache>
            </c:strRef>
          </c:cat>
          <c:val>
            <c:numRef>
              <c:f>'Ex. 3e'!$AV$61:$AW$61</c:f>
              <c:numCache>
                <c:formatCode>0.00%</c:formatCode>
                <c:ptCount val="2"/>
                <c:pt idx="0">
                  <c:v>-1.6508003279073438E-2</c:v>
                </c:pt>
                <c:pt idx="1">
                  <c:v>-1.5963384621099051E-2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F-404D-B38F-21334037AC8E}"/>
            </c:ext>
          </c:extLst>
        </c:ser>
        <c:ser>
          <c:idx val="1"/>
          <c:order val="1"/>
          <c:tx>
            <c:strRef>
              <c:f>'Ex. 3e'!$D$56</c:f>
              <c:strCache>
                <c:ptCount val="1"/>
                <c:pt idx="0">
                  <c:v>GHG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'Ex. 3e'!$AV$60:$AW$60</c:f>
              <c:strCache>
                <c:ptCount val="2"/>
                <c:pt idx="0">
                  <c:v>trad</c:v>
                </c:pt>
                <c:pt idx="1">
                  <c:v>green</c:v>
                </c:pt>
              </c:strCache>
            </c:strRef>
          </c:cat>
          <c:val>
            <c:numRef>
              <c:f>'Ex. 3e'!$AV$62:$AW$62</c:f>
              <c:numCache>
                <c:formatCode>0.00%</c:formatCode>
                <c:ptCount val="2"/>
                <c:pt idx="0">
                  <c:v>1.5170500340129208E-2</c:v>
                </c:pt>
                <c:pt idx="1">
                  <c:v>2.243320952581648E-2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FF-404D-B38F-21334037A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87872"/>
        <c:axId val="294953200"/>
      </c:barChart>
      <c:catAx>
        <c:axId val="29518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4953200"/>
        <c:crosses val="autoZero"/>
        <c:auto val="1"/>
        <c:lblAlgn val="ctr"/>
        <c:lblOffset val="100"/>
        <c:noMultiLvlLbl val="0"/>
      </c:catAx>
      <c:valAx>
        <c:axId val="294953200"/>
        <c:scaling>
          <c:orientation val="minMax"/>
          <c:max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51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EU27, optimal,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'Ex. 3e'!$D$55</c:f>
              <c:strCache>
                <c:ptCount val="1"/>
                <c:pt idx="0">
                  <c:v>Prices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'Ex. 3e'!$AZ$55</c:f>
              <c:numCache>
                <c:formatCode>0.00%</c:formatCode>
                <c:ptCount val="1"/>
                <c:pt idx="0">
                  <c:v>1.000000062675236E-2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F-EC42-8330-0A101791EE16}"/>
            </c:ext>
          </c:extLst>
        </c:ser>
        <c:ser>
          <c:idx val="1"/>
          <c:order val="1"/>
          <c:tx>
            <c:strRef>
              <c:f>'Ex. 3e'!$D$56</c:f>
              <c:strCache>
                <c:ptCount val="1"/>
                <c:pt idx="0">
                  <c:v>GHG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'Ex. 3e'!$AZ$56</c:f>
              <c:numCache>
                <c:formatCode>0.00%</c:formatCode>
                <c:ptCount val="1"/>
                <c:pt idx="0">
                  <c:v>-0.10265352811923874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DF-EC42-8330-0A101791E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87872"/>
        <c:axId val="294953200"/>
      </c:barChart>
      <c:catAx>
        <c:axId val="2951878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94953200"/>
        <c:crosses val="autoZero"/>
        <c:auto val="1"/>
        <c:lblAlgn val="ctr"/>
        <c:lblOffset val="100"/>
        <c:noMultiLvlLbl val="0"/>
      </c:catAx>
      <c:valAx>
        <c:axId val="294953200"/>
        <c:scaling>
          <c:orientation val="minMax"/>
          <c:max val="0.2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51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EU27, optimal, technology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'Ex. 3e'!$D$55</c:f>
              <c:strCache>
                <c:ptCount val="1"/>
                <c:pt idx="0">
                  <c:v>Prices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'Ex. 3e'!$AZ$60:$BA$60</c:f>
              <c:strCache>
                <c:ptCount val="2"/>
                <c:pt idx="0">
                  <c:v>trad</c:v>
                </c:pt>
                <c:pt idx="1">
                  <c:v>green</c:v>
                </c:pt>
              </c:strCache>
            </c:strRef>
          </c:cat>
          <c:val>
            <c:numRef>
              <c:f>'Ex. 3e'!$AZ$61:$BA$61</c:f>
              <c:numCache>
                <c:formatCode>0.00%</c:formatCode>
                <c:ptCount val="2"/>
                <c:pt idx="0">
                  <c:v>1.086735527346333E-3</c:v>
                </c:pt>
                <c:pt idx="1">
                  <c:v>1.0508828300540851E-3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A-CD43-8EAB-B62965104350}"/>
            </c:ext>
          </c:extLst>
        </c:ser>
        <c:ser>
          <c:idx val="1"/>
          <c:order val="1"/>
          <c:tx>
            <c:strRef>
              <c:f>'Ex. 3e'!$D$56</c:f>
              <c:strCache>
                <c:ptCount val="1"/>
                <c:pt idx="0">
                  <c:v>GHG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'Ex. 3e'!$AZ$60:$BA$60</c:f>
              <c:strCache>
                <c:ptCount val="2"/>
                <c:pt idx="0">
                  <c:v>trad</c:v>
                </c:pt>
                <c:pt idx="1">
                  <c:v>green</c:v>
                </c:pt>
              </c:strCache>
            </c:strRef>
          </c:cat>
          <c:val>
            <c:numRef>
              <c:f>'Ex. 3e'!$AZ$62:$BA$62</c:f>
              <c:numCache>
                <c:formatCode>0.00%</c:formatCode>
                <c:ptCount val="2"/>
                <c:pt idx="0">
                  <c:v>-1.1155722902514785E-2</c:v>
                </c:pt>
                <c:pt idx="1">
                  <c:v>-1.6496401810961001E-2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A-CD43-8EAB-B62965104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87872"/>
        <c:axId val="294953200"/>
      </c:barChart>
      <c:catAx>
        <c:axId val="29518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4953200"/>
        <c:crosses val="autoZero"/>
        <c:auto val="1"/>
        <c:lblAlgn val="ctr"/>
        <c:lblOffset val="100"/>
        <c:noMultiLvlLbl val="0"/>
      </c:catAx>
      <c:valAx>
        <c:axId val="294953200"/>
        <c:scaling>
          <c:orientation val="minMax"/>
          <c:max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951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50800</xdr:colOff>
      <xdr:row>45</xdr:row>
      <xdr:rowOff>20320</xdr:rowOff>
    </xdr:from>
    <xdr:ext cx="186944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9F03B0-D34E-744E-3F61-39BBDE5AC762}"/>
            </a:ext>
          </a:extLst>
        </xdr:cNvPr>
        <xdr:cNvSpPr txBox="1"/>
      </xdr:nvSpPr>
      <xdr:spPr>
        <a:xfrm>
          <a:off x="5466080" y="6065520"/>
          <a:ext cx="1869440" cy="60901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d</a:t>
          </a:r>
          <a:r>
            <a:rPr lang="en-GB" sz="1100"/>
            <a:t> shows how much of each product is supplied by a given technology</a:t>
          </a:r>
        </a:p>
      </xdr:txBody>
    </xdr:sp>
    <xdr:clientData/>
  </xdr:oneCellAnchor>
  <xdr:oneCellAnchor>
    <xdr:from>
      <xdr:col>18</xdr:col>
      <xdr:colOff>447040</xdr:colOff>
      <xdr:row>37</xdr:row>
      <xdr:rowOff>182880</xdr:rowOff>
    </xdr:from>
    <xdr:ext cx="1148080" cy="7812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F82DF6-DBEE-8042-9D84-475967654304}"/>
            </a:ext>
          </a:extLst>
        </xdr:cNvPr>
        <xdr:cNvSpPr txBox="1"/>
      </xdr:nvSpPr>
      <xdr:spPr>
        <a:xfrm>
          <a:off x="9865360" y="7772400"/>
          <a:ext cx="1148080" cy="78124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GB" sz="1100" b="1"/>
            <a:t>c</a:t>
          </a:r>
          <a:r>
            <a:rPr lang="en-GB" sz="1100"/>
            <a:t> shows the</a:t>
          </a:r>
          <a:r>
            <a:rPr lang="en-GB" sz="1100" baseline="0"/>
            <a:t> product output mix of each technology</a:t>
          </a:r>
          <a:endParaRPr lang="en-GB" sz="1100"/>
        </a:p>
      </xdr:txBody>
    </xdr:sp>
    <xdr:clientData/>
  </xdr:oneCellAnchor>
  <xdr:twoCellAnchor editAs="oneCell">
    <xdr:from>
      <xdr:col>4</xdr:col>
      <xdr:colOff>20320</xdr:colOff>
      <xdr:row>4</xdr:row>
      <xdr:rowOff>91440</xdr:rowOff>
    </xdr:from>
    <xdr:to>
      <xdr:col>17</xdr:col>
      <xdr:colOff>307808</xdr:colOff>
      <xdr:row>16</xdr:row>
      <xdr:rowOff>102050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8CA85A-F569-DF70-97E5-D9D970D13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7200" y="1310640"/>
          <a:ext cx="6573520" cy="2330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278462</xdr:colOff>
      <xdr:row>31</xdr:row>
      <xdr:rowOff>134528</xdr:rowOff>
    </xdr:from>
    <xdr:to>
      <xdr:col>25</xdr:col>
      <xdr:colOff>355924</xdr:colOff>
      <xdr:row>48</xdr:row>
      <xdr:rowOff>85377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BB1912-716D-C76F-C980-F4F6838742E8}"/>
            </a:ext>
          </a:extLst>
        </xdr:cNvPr>
        <xdr:cNvSpPr txBox="1"/>
      </xdr:nvSpPr>
      <xdr:spPr>
        <a:xfrm>
          <a:off x="7388844" y="6945611"/>
          <a:ext cx="6176698" cy="32512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Why aluminium electricity footprint is higher in PT than IT?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Because in PT, 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of the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supply is attributed to waste management—whose own electricity </a:t>
          </a:r>
          <a:r>
            <a:rPr lang="en-GB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intensity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(i.e.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matrix </a:t>
          </a:r>
          <a:r>
            <a:rPr lang="en-GB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lower than aluminium production, but the extra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waste management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activity needed for supplying secondary aluminium “backflows” electricity burden onto the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 via the product-mix matrix. This sums together both primary and secondary routes, leading to a higher average electricity footprint per kg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 i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i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Then, why the electricity footprint of the waste management service is lower in PT?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Because in PT, the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waste management service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supplied includes not just the direct activity, but also the 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“side effect”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of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by-products. The model allocates part of the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waste management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’s outputs to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leaving a “net” service with a lower share of the total electricity burden</a:t>
          </a:r>
          <a:endParaRPr lang="en-GB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Why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embodied demand of </a:t>
          </a:r>
          <a:r>
            <a:rPr lang="en-GB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scrap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waste management services is larger when using the PT?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Because in PT, supplying 1 unit of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waste management service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requires running the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waste management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technology 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enough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to cover both the direct service and the associated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by-product (which is physically “forced out” by the product-mix matrix). The result: to produce 1 net unit of </a:t>
          </a:r>
          <a:r>
            <a:rPr lang="en-GB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service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more total activity occurs (including more scrap processed), inflating the specific embodied scrap demand per net service supplied.</a:t>
          </a:r>
          <a:endParaRPr lang="en-GB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19</xdr:col>
      <xdr:colOff>127000</xdr:colOff>
      <xdr:row>5</xdr:row>
      <xdr:rowOff>50800</xdr:rowOff>
    </xdr:from>
    <xdr:to>
      <xdr:col>32</xdr:col>
      <xdr:colOff>364067</xdr:colOff>
      <xdr:row>16</xdr:row>
      <xdr:rowOff>14364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900B757-A0E7-308E-7C22-E6BE70C72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3267" y="1820333"/>
          <a:ext cx="7772400" cy="21056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64</xdr:row>
      <xdr:rowOff>0</xdr:rowOff>
    </xdr:from>
    <xdr:to>
      <xdr:col>31</xdr:col>
      <xdr:colOff>455706</xdr:colOff>
      <xdr:row>78</xdr:row>
      <xdr:rowOff>23906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F4BBE3-4BA8-ED40-90C2-21EAC14F7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64</xdr:row>
      <xdr:rowOff>0</xdr:rowOff>
    </xdr:from>
    <xdr:to>
      <xdr:col>37</xdr:col>
      <xdr:colOff>455706</xdr:colOff>
      <xdr:row>78</xdr:row>
      <xdr:rowOff>23906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0EB5EE-D9B0-464D-A648-2D2D92507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79</xdr:row>
      <xdr:rowOff>0</xdr:rowOff>
    </xdr:from>
    <xdr:to>
      <xdr:col>31</xdr:col>
      <xdr:colOff>455706</xdr:colOff>
      <xdr:row>93</xdr:row>
      <xdr:rowOff>23906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32A6B9-B665-FD47-B81C-72E93A56F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79</xdr:row>
      <xdr:rowOff>0</xdr:rowOff>
    </xdr:from>
    <xdr:to>
      <xdr:col>37</xdr:col>
      <xdr:colOff>455706</xdr:colOff>
      <xdr:row>93</xdr:row>
      <xdr:rowOff>23906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68C588-6C4E-A042-8DC2-D4E513423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64</xdr:row>
      <xdr:rowOff>0</xdr:rowOff>
    </xdr:from>
    <xdr:to>
      <xdr:col>31</xdr:col>
      <xdr:colOff>455706</xdr:colOff>
      <xdr:row>78</xdr:row>
      <xdr:rowOff>23906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F9C6B-AA31-E140-8C09-8EB7EC14C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64</xdr:row>
      <xdr:rowOff>0</xdr:rowOff>
    </xdr:from>
    <xdr:to>
      <xdr:col>37</xdr:col>
      <xdr:colOff>455706</xdr:colOff>
      <xdr:row>78</xdr:row>
      <xdr:rowOff>23906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A340E4-8567-FA4E-91DA-A82AADA65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79</xdr:row>
      <xdr:rowOff>0</xdr:rowOff>
    </xdr:from>
    <xdr:to>
      <xdr:col>31</xdr:col>
      <xdr:colOff>455706</xdr:colOff>
      <xdr:row>93</xdr:row>
      <xdr:rowOff>23906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344B6F-6A87-8B4B-8907-C8D8F0FB7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79</xdr:row>
      <xdr:rowOff>0</xdr:rowOff>
    </xdr:from>
    <xdr:to>
      <xdr:col>37</xdr:col>
      <xdr:colOff>455706</xdr:colOff>
      <xdr:row>93</xdr:row>
      <xdr:rowOff>23906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096102-8263-E743-80CE-F7504271B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0</xdr:colOff>
      <xdr:row>64</xdr:row>
      <xdr:rowOff>0</xdr:rowOff>
    </xdr:from>
    <xdr:to>
      <xdr:col>43</xdr:col>
      <xdr:colOff>709706</xdr:colOff>
      <xdr:row>78</xdr:row>
      <xdr:rowOff>23906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4815C8-A326-DD4D-B3F8-D3054410B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79</xdr:row>
      <xdr:rowOff>0</xdr:rowOff>
    </xdr:from>
    <xdr:to>
      <xdr:col>43</xdr:col>
      <xdr:colOff>709706</xdr:colOff>
      <xdr:row>93</xdr:row>
      <xdr:rowOff>23906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133561-5DDE-A34A-867F-F746D3371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e.ac.uk/download/pdf/133249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journalofeconomicstructures.springeropen.com/articles/10.1186/s40008-017-0072-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B07F-779E-844B-94BD-FAA6A231CD5B}">
  <dimension ref="A1:AS92"/>
  <sheetViews>
    <sheetView showGridLines="0" tabSelected="1" zoomScale="160" zoomScaleNormal="1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88" sqref="E88:J92"/>
    </sheetView>
  </sheetViews>
  <sheetFormatPr defaultColWidth="11.5546875" defaultRowHeight="14.4"/>
  <cols>
    <col min="1" max="1" width="8.77734375" bestFit="1" customWidth="1"/>
    <col min="2" max="2" width="11.6640625" bestFit="1" customWidth="1"/>
    <col min="3" max="3" width="12.33203125" customWidth="1"/>
    <col min="4" max="4" width="6.109375" customWidth="1"/>
    <col min="5" max="10" width="6.33203125" customWidth="1"/>
    <col min="11" max="11" width="7.88671875" bestFit="1" customWidth="1"/>
    <col min="12" max="20" width="6" customWidth="1"/>
    <col min="21" max="21" width="9.44140625" customWidth="1"/>
    <col min="22" max="22" width="6" customWidth="1"/>
    <col min="23" max="45" width="5.77734375" customWidth="1"/>
  </cols>
  <sheetData>
    <row r="1" spans="1:20" ht="33" customHeight="1">
      <c r="A1" s="60" t="s">
        <v>32</v>
      </c>
      <c r="B1" s="60"/>
      <c r="C1" s="60"/>
      <c r="D1" s="60"/>
      <c r="E1" s="105" t="s">
        <v>54</v>
      </c>
      <c r="F1" s="105" t="s">
        <v>55</v>
      </c>
      <c r="G1" s="105" t="s">
        <v>56</v>
      </c>
      <c r="H1" s="105" t="s">
        <v>67</v>
      </c>
      <c r="I1" s="105" t="s">
        <v>57</v>
      </c>
      <c r="J1" s="105" t="s">
        <v>58</v>
      </c>
      <c r="K1" s="105"/>
      <c r="L1" s="105"/>
      <c r="M1" s="105"/>
      <c r="N1" s="105"/>
      <c r="O1" s="105"/>
      <c r="P1" s="105"/>
      <c r="Q1" s="54"/>
      <c r="R1" s="54"/>
      <c r="S1" s="54"/>
      <c r="T1" s="54"/>
    </row>
    <row r="2" spans="1:20" ht="33" customHeight="1">
      <c r="A2" s="60"/>
      <c r="B2" s="60" t="s">
        <v>33</v>
      </c>
      <c r="C2" s="60"/>
      <c r="D2" s="60"/>
      <c r="E2" s="105"/>
      <c r="F2" s="105"/>
      <c r="G2" s="105"/>
      <c r="H2" s="105"/>
      <c r="I2" s="105"/>
      <c r="J2" s="105"/>
      <c r="K2" s="105"/>
      <c r="L2" s="105" t="s">
        <v>74</v>
      </c>
      <c r="M2" s="105" t="s">
        <v>75</v>
      </c>
      <c r="N2" s="105" t="s">
        <v>69</v>
      </c>
      <c r="O2" s="105" t="s">
        <v>61</v>
      </c>
      <c r="P2" s="105" t="s">
        <v>73</v>
      </c>
      <c r="Q2" s="54"/>
      <c r="R2" s="54"/>
      <c r="S2" s="54"/>
      <c r="T2" s="54"/>
    </row>
    <row r="3" spans="1:20">
      <c r="A3" s="60"/>
      <c r="B3" s="60"/>
      <c r="C3" s="60" t="s">
        <v>52</v>
      </c>
      <c r="D3" s="61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4"/>
      <c r="R3" s="54"/>
      <c r="S3" s="54"/>
      <c r="T3" s="54"/>
    </row>
    <row r="4" spans="1:20">
      <c r="A4" s="60"/>
      <c r="B4" s="60"/>
      <c r="C4" s="60"/>
      <c r="D4" s="60" t="s">
        <v>1</v>
      </c>
      <c r="E4" s="54" t="s">
        <v>64</v>
      </c>
      <c r="F4" s="54" t="s">
        <v>64</v>
      </c>
      <c r="G4" s="54" t="s">
        <v>64</v>
      </c>
      <c r="H4" s="54" t="s">
        <v>64</v>
      </c>
      <c r="I4" s="54" t="s">
        <v>65</v>
      </c>
      <c r="J4" s="54" t="s">
        <v>65</v>
      </c>
      <c r="K4" s="54"/>
      <c r="L4" s="54" t="s">
        <v>64</v>
      </c>
      <c r="M4" s="54" t="s">
        <v>64</v>
      </c>
      <c r="N4" s="54" t="s">
        <v>64</v>
      </c>
      <c r="O4" s="54" t="s">
        <v>64</v>
      </c>
      <c r="P4" s="54" t="s">
        <v>65</v>
      </c>
      <c r="Q4" s="54"/>
    </row>
    <row r="5" spans="1:20">
      <c r="A5" s="60"/>
      <c r="B5" s="60"/>
      <c r="C5" s="60"/>
      <c r="D5" s="60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1:20">
      <c r="A6" s="58" t="s">
        <v>127</v>
      </c>
      <c r="B6" s="60"/>
      <c r="C6" s="60"/>
      <c r="D6" s="6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spans="1:20">
      <c r="A7" s="60"/>
      <c r="B7" s="60"/>
      <c r="C7" s="60"/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</row>
    <row r="8" spans="1:20">
      <c r="A8" s="60"/>
      <c r="B8" s="60"/>
      <c r="C8" s="60"/>
      <c r="D8" s="6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</row>
    <row r="9" spans="1:20">
      <c r="A9" s="60"/>
      <c r="B9" s="60"/>
      <c r="C9" s="60"/>
      <c r="D9" s="6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</row>
    <row r="10" spans="1:20">
      <c r="A10" s="60"/>
      <c r="B10" s="60"/>
      <c r="C10" s="60"/>
      <c r="D10" s="6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</row>
    <row r="11" spans="1:20">
      <c r="A11" s="60"/>
      <c r="B11" s="60"/>
      <c r="C11" s="60"/>
      <c r="D11" s="6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</row>
    <row r="12" spans="1:20">
      <c r="A12" s="60"/>
      <c r="B12" s="60"/>
      <c r="C12" s="60"/>
      <c r="D12" s="6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pans="1:20">
      <c r="A13" s="60"/>
      <c r="B13" s="60"/>
      <c r="C13" s="60"/>
      <c r="D13" s="6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pans="1:20">
      <c r="A14" s="60"/>
      <c r="B14" s="60"/>
      <c r="C14" s="60"/>
      <c r="D14" s="6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</row>
    <row r="15" spans="1:20">
      <c r="A15" s="60"/>
      <c r="B15" s="60"/>
      <c r="C15" s="60"/>
      <c r="D15" s="6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</row>
    <row r="16" spans="1:20">
      <c r="A16" s="60"/>
      <c r="B16" s="60"/>
      <c r="C16" s="60"/>
      <c r="D16" s="6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</row>
    <row r="17" spans="1:45">
      <c r="A17" s="60"/>
      <c r="B17" s="60"/>
      <c r="C17" s="60"/>
      <c r="D17" s="60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45">
      <c r="A18" s="89"/>
      <c r="B18" s="89"/>
      <c r="C18" s="89"/>
      <c r="D18" s="89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</row>
    <row r="19" spans="1:45">
      <c r="A19" s="58" t="s">
        <v>128</v>
      </c>
      <c r="B19" s="60"/>
      <c r="C19" s="60"/>
      <c r="D19" s="60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</row>
    <row r="20" spans="1:45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7"/>
      <c r="L20" s="58" t="s">
        <v>63</v>
      </c>
      <c r="M20" s="54"/>
      <c r="N20" s="54"/>
      <c r="O20" s="54"/>
      <c r="P20" s="54"/>
      <c r="Q20" s="54"/>
      <c r="R20" s="58" t="s">
        <v>21</v>
      </c>
      <c r="S20" s="54"/>
      <c r="T20" s="58" t="s">
        <v>71</v>
      </c>
    </row>
    <row r="21" spans="1:45">
      <c r="A21" s="54" t="s">
        <v>54</v>
      </c>
      <c r="B21" s="54"/>
      <c r="C21" s="54"/>
      <c r="D21" s="54" t="s">
        <v>64</v>
      </c>
      <c r="E21" s="54"/>
      <c r="F21" s="54"/>
      <c r="G21" s="54"/>
      <c r="H21" s="54"/>
      <c r="I21" s="54"/>
      <c r="J21" s="54"/>
      <c r="K21" s="57"/>
      <c r="L21" s="59"/>
      <c r="M21" s="59"/>
      <c r="N21" s="59"/>
      <c r="O21" s="59"/>
      <c r="P21" s="59"/>
      <c r="Q21" s="54"/>
      <c r="R21" s="59"/>
      <c r="S21" s="54"/>
      <c r="T21" s="55"/>
    </row>
    <row r="22" spans="1:45">
      <c r="A22" s="54" t="s">
        <v>55</v>
      </c>
      <c r="B22" s="54"/>
      <c r="C22" s="54"/>
      <c r="D22" s="54" t="s">
        <v>64</v>
      </c>
      <c r="E22" s="54"/>
      <c r="F22" s="54"/>
      <c r="G22" s="54"/>
      <c r="H22" s="54"/>
      <c r="I22" s="54"/>
      <c r="J22" s="54"/>
      <c r="K22" s="57"/>
      <c r="L22" s="59"/>
      <c r="M22" s="59"/>
      <c r="N22" s="59"/>
      <c r="O22" s="59"/>
      <c r="P22" s="59"/>
      <c r="Q22" s="54"/>
      <c r="R22" s="59"/>
      <c r="S22" s="54"/>
      <c r="T22" s="55"/>
    </row>
    <row r="23" spans="1:45">
      <c r="A23" s="54" t="s">
        <v>56</v>
      </c>
      <c r="B23" s="54"/>
      <c r="C23" s="54"/>
      <c r="D23" s="54" t="s">
        <v>64</v>
      </c>
      <c r="E23" s="54"/>
      <c r="F23" s="54"/>
      <c r="G23" s="54"/>
      <c r="H23" s="54"/>
      <c r="I23" s="54"/>
      <c r="J23" s="54"/>
      <c r="K23" s="57"/>
      <c r="L23" s="59"/>
      <c r="M23" s="59"/>
      <c r="N23" s="59"/>
      <c r="O23" s="59"/>
      <c r="P23" s="59"/>
      <c r="Q23" s="54"/>
      <c r="R23" s="59"/>
      <c r="S23" s="54"/>
      <c r="T23" s="55"/>
    </row>
    <row r="24" spans="1:45">
      <c r="A24" s="54" t="s">
        <v>67</v>
      </c>
      <c r="B24" s="54"/>
      <c r="C24" s="54"/>
      <c r="D24" s="54" t="s">
        <v>64</v>
      </c>
      <c r="E24" s="54"/>
      <c r="F24" s="54"/>
      <c r="G24" s="54"/>
      <c r="H24" s="54"/>
      <c r="I24" s="54"/>
      <c r="J24" s="54"/>
      <c r="K24" s="57"/>
      <c r="L24" s="59"/>
      <c r="M24" s="59"/>
      <c r="N24" s="59"/>
      <c r="O24" s="59"/>
      <c r="P24" s="59"/>
      <c r="Q24" s="54"/>
      <c r="R24" s="59"/>
      <c r="S24" s="54"/>
      <c r="T24" s="55"/>
    </row>
    <row r="25" spans="1:45">
      <c r="A25" s="54" t="s">
        <v>57</v>
      </c>
      <c r="B25" s="54"/>
      <c r="C25" s="54"/>
      <c r="D25" s="54" t="s">
        <v>65</v>
      </c>
      <c r="E25" s="54"/>
      <c r="F25" s="54"/>
      <c r="G25" s="54"/>
      <c r="H25" s="54"/>
      <c r="I25" s="54"/>
      <c r="J25" s="54"/>
      <c r="K25" s="57"/>
      <c r="L25" s="59"/>
      <c r="M25" s="59"/>
      <c r="N25" s="59"/>
      <c r="O25" s="59"/>
      <c r="P25" s="59"/>
      <c r="Q25" s="54"/>
      <c r="R25" s="59"/>
      <c r="S25" s="54"/>
      <c r="T25" s="55"/>
    </row>
    <row r="26" spans="1:45">
      <c r="A26" s="54" t="s">
        <v>58</v>
      </c>
      <c r="B26" s="54"/>
      <c r="C26" s="54"/>
      <c r="D26" s="54" t="s">
        <v>65</v>
      </c>
      <c r="E26" s="54"/>
      <c r="F26" s="54"/>
      <c r="G26" s="54"/>
      <c r="H26" s="54"/>
      <c r="I26" s="54"/>
      <c r="J26" s="54"/>
      <c r="K26" s="57"/>
      <c r="L26" s="59"/>
      <c r="M26" s="59"/>
      <c r="N26" s="59"/>
      <c r="O26" s="59"/>
      <c r="P26" s="59"/>
      <c r="Q26" s="54"/>
      <c r="R26" s="59"/>
      <c r="S26" s="54"/>
      <c r="T26" s="55"/>
    </row>
    <row r="27" spans="1:45">
      <c r="A27" s="54"/>
      <c r="B27" s="54"/>
      <c r="C27" s="54"/>
      <c r="D27" s="54"/>
      <c r="E27" s="58" t="s">
        <v>160</v>
      </c>
      <c r="F27" s="54"/>
      <c r="G27" s="54"/>
      <c r="H27" s="54"/>
      <c r="I27" s="54"/>
      <c r="J27" s="54"/>
      <c r="K27" s="57"/>
      <c r="L27" s="54"/>
      <c r="M27" s="54"/>
      <c r="N27" s="54"/>
      <c r="O27" s="54"/>
      <c r="P27" s="54"/>
      <c r="Q27" s="54"/>
      <c r="R27" s="54"/>
      <c r="S27" s="54"/>
      <c r="T27" s="58" t="s">
        <v>72</v>
      </c>
    </row>
    <row r="28" spans="1:45">
      <c r="A28" s="54"/>
      <c r="B28" s="54" t="s">
        <v>74</v>
      </c>
      <c r="C28" s="54"/>
      <c r="D28" s="54" t="s">
        <v>64</v>
      </c>
      <c r="E28" s="59"/>
      <c r="F28" s="59"/>
      <c r="G28" s="59"/>
      <c r="H28" s="59"/>
      <c r="I28" s="59"/>
      <c r="J28" s="59"/>
      <c r="K28" s="57"/>
      <c r="L28" s="54"/>
      <c r="M28" s="54"/>
      <c r="N28" s="54"/>
      <c r="O28" s="54"/>
      <c r="P28" s="54"/>
      <c r="Q28" s="54"/>
      <c r="R28" s="54"/>
      <c r="S28" s="54"/>
      <c r="T28" s="55"/>
    </row>
    <row r="29" spans="1:45">
      <c r="A29" s="54"/>
      <c r="B29" s="54" t="s">
        <v>75</v>
      </c>
      <c r="C29" s="54"/>
      <c r="D29" s="54" t="s">
        <v>64</v>
      </c>
      <c r="E29" s="59"/>
      <c r="F29" s="59"/>
      <c r="G29" s="59"/>
      <c r="H29" s="59"/>
      <c r="I29" s="59"/>
      <c r="J29" s="59"/>
      <c r="K29" s="57"/>
      <c r="L29" s="54"/>
      <c r="M29" s="54"/>
      <c r="N29" s="54"/>
      <c r="O29" s="54"/>
      <c r="P29" s="54"/>
      <c r="Q29" s="54"/>
      <c r="R29" s="54"/>
      <c r="S29" s="54"/>
      <c r="T29" s="55"/>
    </row>
    <row r="30" spans="1:45">
      <c r="A30" s="54"/>
      <c r="B30" s="54" t="s">
        <v>69</v>
      </c>
      <c r="C30" s="54"/>
      <c r="D30" s="54" t="s">
        <v>64</v>
      </c>
      <c r="E30" s="59"/>
      <c r="F30" s="59"/>
      <c r="G30" s="59"/>
      <c r="H30" s="59"/>
      <c r="I30" s="59"/>
      <c r="J30" s="59"/>
      <c r="K30" s="57"/>
      <c r="L30" s="54"/>
      <c r="M30" s="54"/>
      <c r="N30" s="54"/>
      <c r="O30" s="54"/>
      <c r="P30" s="54"/>
      <c r="Q30" s="54"/>
      <c r="R30" s="54"/>
      <c r="S30" s="54"/>
      <c r="T30" s="55"/>
    </row>
    <row r="31" spans="1:45">
      <c r="A31" s="54"/>
      <c r="B31" s="54" t="s">
        <v>61</v>
      </c>
      <c r="C31" s="54"/>
      <c r="D31" s="54" t="s">
        <v>64</v>
      </c>
      <c r="E31" s="59"/>
      <c r="F31" s="59"/>
      <c r="G31" s="59"/>
      <c r="H31" s="59"/>
      <c r="I31" s="59"/>
      <c r="J31" s="59"/>
      <c r="K31" s="57"/>
      <c r="L31" s="54"/>
      <c r="M31" s="54"/>
      <c r="N31" s="54"/>
      <c r="O31" s="54"/>
      <c r="P31" s="54"/>
      <c r="Q31" s="54"/>
      <c r="R31" s="54"/>
      <c r="S31" s="54"/>
      <c r="T31" s="55"/>
    </row>
    <row r="32" spans="1:45">
      <c r="A32" s="54"/>
      <c r="B32" s="54" t="s">
        <v>73</v>
      </c>
      <c r="C32" s="54"/>
      <c r="D32" s="54" t="s">
        <v>65</v>
      </c>
      <c r="E32" s="59"/>
      <c r="F32" s="59"/>
      <c r="G32" s="59"/>
      <c r="H32" s="59"/>
      <c r="I32" s="59"/>
      <c r="J32" s="59"/>
      <c r="K32" s="57"/>
      <c r="L32" s="54"/>
      <c r="M32" s="54"/>
      <c r="N32" s="54"/>
      <c r="O32" s="54"/>
      <c r="P32" s="54"/>
      <c r="Q32" s="54"/>
      <c r="R32" s="54"/>
      <c r="S32" s="54"/>
      <c r="T32" s="55"/>
    </row>
    <row r="33" spans="1:45">
      <c r="A33" s="54"/>
      <c r="B33" s="54"/>
      <c r="C33" s="54"/>
      <c r="D33" s="54"/>
      <c r="E33" s="58" t="s">
        <v>66</v>
      </c>
      <c r="F33" s="54"/>
      <c r="G33" s="54"/>
      <c r="H33" s="54"/>
      <c r="I33" s="54"/>
      <c r="J33" s="54"/>
      <c r="K33" s="57"/>
      <c r="L33" s="54"/>
      <c r="M33" s="54"/>
      <c r="N33" s="54"/>
      <c r="O33" s="54"/>
      <c r="P33" s="54"/>
      <c r="Q33" s="54"/>
      <c r="R33" s="54"/>
      <c r="S33" s="54"/>
      <c r="T33" s="54"/>
    </row>
    <row r="34" spans="1:45">
      <c r="A34" s="54"/>
      <c r="B34" s="54"/>
      <c r="C34" s="54"/>
      <c r="D34" s="54"/>
      <c r="E34" s="55">
        <f>SUM(E28:E32)</f>
        <v>0</v>
      </c>
      <c r="F34" s="55">
        <f t="shared" ref="F34:J34" si="0">SUM(F28:F32)</f>
        <v>0</v>
      </c>
      <c r="G34" s="55">
        <f t="shared" si="0"/>
        <v>0</v>
      </c>
      <c r="H34" s="55">
        <f t="shared" si="0"/>
        <v>0</v>
      </c>
      <c r="I34" s="55">
        <f t="shared" si="0"/>
        <v>0</v>
      </c>
      <c r="J34" s="55">
        <f t="shared" si="0"/>
        <v>0</v>
      </c>
      <c r="K34" s="57"/>
      <c r="L34" s="54"/>
      <c r="M34" s="54"/>
      <c r="N34" s="54"/>
      <c r="O34" s="54"/>
      <c r="P34" s="54"/>
      <c r="Q34" s="54"/>
      <c r="R34" s="54"/>
      <c r="S34" s="54"/>
      <c r="T34" s="54"/>
    </row>
    <row r="35" spans="1:4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0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</row>
    <row r="36" spans="1:45">
      <c r="A36" s="1" t="s">
        <v>129</v>
      </c>
      <c r="R36" s="54"/>
    </row>
    <row r="37" spans="1:45">
      <c r="R37" s="54"/>
      <c r="V37" s="56"/>
      <c r="W37" s="56"/>
      <c r="X37" s="56"/>
      <c r="Y37" s="56"/>
      <c r="Z37" s="56"/>
    </row>
    <row r="38" spans="1:45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7"/>
      <c r="L38" s="54" t="s">
        <v>70</v>
      </c>
      <c r="M38" s="54"/>
      <c r="N38" s="54"/>
      <c r="O38" s="54"/>
      <c r="P38" s="54"/>
      <c r="Q38" s="54"/>
      <c r="R38" s="54"/>
      <c r="S38" s="54"/>
      <c r="V38" s="54" t="s">
        <v>161</v>
      </c>
      <c r="W38" s="54"/>
      <c r="X38" s="54"/>
      <c r="Y38" s="54"/>
      <c r="Z38" s="54"/>
    </row>
    <row r="39" spans="1:45">
      <c r="A39" s="54" t="s">
        <v>54</v>
      </c>
      <c r="B39" s="54"/>
      <c r="C39" s="54"/>
      <c r="D39" s="54" t="s">
        <v>64</v>
      </c>
      <c r="E39" s="54"/>
      <c r="F39" s="54"/>
      <c r="G39" s="54"/>
      <c r="H39" s="54"/>
      <c r="I39" s="54"/>
      <c r="J39" s="54"/>
      <c r="K39" s="57"/>
      <c r="L39" s="62"/>
      <c r="M39" s="62"/>
      <c r="N39" s="62"/>
      <c r="O39" s="62"/>
      <c r="P39" s="62"/>
      <c r="Q39" s="54"/>
      <c r="R39" s="54"/>
      <c r="S39" s="54"/>
      <c r="V39" s="62" t="e">
        <f t="array" ref="V39:Z44">MMULT(TRANSPOSE(E28:J32),MINVERSE(_xlfn.MUNIT(5)*T28:T32))</f>
        <v>#NUM!</v>
      </c>
      <c r="W39" s="62" t="e">
        <v>#NUM!</v>
      </c>
      <c r="X39" s="62" t="e">
        <v>#NUM!</v>
      </c>
      <c r="Y39" s="62" t="e">
        <v>#NUM!</v>
      </c>
      <c r="Z39" s="62" t="e">
        <v>#NUM!</v>
      </c>
    </row>
    <row r="40" spans="1:45">
      <c r="A40" s="54" t="s">
        <v>55</v>
      </c>
      <c r="B40" s="54"/>
      <c r="C40" s="54"/>
      <c r="D40" s="54" t="s">
        <v>64</v>
      </c>
      <c r="E40" s="54"/>
      <c r="F40" s="54"/>
      <c r="G40" s="54"/>
      <c r="H40" s="54"/>
      <c r="I40" s="54"/>
      <c r="J40" s="54"/>
      <c r="K40" s="57"/>
      <c r="L40" s="62"/>
      <c r="M40" s="62"/>
      <c r="N40" s="62"/>
      <c r="O40" s="62"/>
      <c r="P40" s="62"/>
      <c r="Q40" s="54"/>
      <c r="R40" s="54"/>
      <c r="S40" s="54"/>
      <c r="V40" s="62" t="e">
        <v>#NUM!</v>
      </c>
      <c r="W40" s="62" t="e">
        <v>#NUM!</v>
      </c>
      <c r="X40" s="62" t="e">
        <v>#NUM!</v>
      </c>
      <c r="Y40" s="62" t="e">
        <v>#NUM!</v>
      </c>
      <c r="Z40" s="62" t="e">
        <v>#NUM!</v>
      </c>
    </row>
    <row r="41" spans="1:45">
      <c r="A41" s="54" t="s">
        <v>56</v>
      </c>
      <c r="B41" s="54"/>
      <c r="C41" s="54"/>
      <c r="D41" s="54" t="s">
        <v>64</v>
      </c>
      <c r="E41" s="54"/>
      <c r="F41" s="54"/>
      <c r="G41" s="54"/>
      <c r="H41" s="54"/>
      <c r="I41" s="54"/>
      <c r="J41" s="54"/>
      <c r="K41" s="57"/>
      <c r="L41" s="62"/>
      <c r="M41" s="62"/>
      <c r="N41" s="62"/>
      <c r="O41" s="62"/>
      <c r="P41" s="62"/>
      <c r="Q41" s="54"/>
      <c r="R41" s="54"/>
      <c r="S41" s="54"/>
      <c r="V41" s="62" t="e">
        <v>#NUM!</v>
      </c>
      <c r="W41" s="62" t="e">
        <v>#NUM!</v>
      </c>
      <c r="X41" s="62" t="e">
        <v>#NUM!</v>
      </c>
      <c r="Y41" s="62" t="e">
        <v>#NUM!</v>
      </c>
      <c r="Z41" s="62" t="e">
        <v>#NUM!</v>
      </c>
    </row>
    <row r="42" spans="1:45">
      <c r="A42" s="54" t="s">
        <v>67</v>
      </c>
      <c r="B42" s="54"/>
      <c r="C42" s="54"/>
      <c r="D42" s="54" t="s">
        <v>64</v>
      </c>
      <c r="E42" s="54"/>
      <c r="F42" s="54"/>
      <c r="G42" s="54"/>
      <c r="H42" s="54"/>
      <c r="I42" s="54"/>
      <c r="J42" s="54"/>
      <c r="K42" s="57"/>
      <c r="L42" s="62"/>
      <c r="M42" s="62"/>
      <c r="N42" s="62"/>
      <c r="O42" s="62"/>
      <c r="P42" s="62"/>
      <c r="Q42" s="54"/>
      <c r="R42" s="54"/>
      <c r="S42" s="54"/>
      <c r="V42" s="62" t="e">
        <v>#NUM!</v>
      </c>
      <c r="W42" s="62" t="e">
        <v>#NUM!</v>
      </c>
      <c r="X42" s="62" t="e">
        <v>#NUM!</v>
      </c>
      <c r="Y42" s="62" t="e">
        <v>#NUM!</v>
      </c>
      <c r="Z42" s="62" t="e">
        <v>#NUM!</v>
      </c>
    </row>
    <row r="43" spans="1:45">
      <c r="A43" s="54" t="s">
        <v>57</v>
      </c>
      <c r="B43" s="54"/>
      <c r="C43" s="54"/>
      <c r="D43" s="54" t="s">
        <v>65</v>
      </c>
      <c r="E43" s="54"/>
      <c r="F43" s="54"/>
      <c r="G43" s="54"/>
      <c r="H43" s="54"/>
      <c r="I43" s="54"/>
      <c r="J43" s="54"/>
      <c r="K43" s="57"/>
      <c r="L43" s="62"/>
      <c r="M43" s="62"/>
      <c r="N43" s="62"/>
      <c r="O43" s="62"/>
      <c r="P43" s="62"/>
      <c r="Q43" s="54"/>
      <c r="R43" s="54"/>
      <c r="S43" s="54"/>
      <c r="V43" s="62" t="e">
        <v>#NUM!</v>
      </c>
      <c r="W43" s="62" t="e">
        <v>#NUM!</v>
      </c>
      <c r="X43" s="62" t="e">
        <v>#NUM!</v>
      </c>
      <c r="Y43" s="62" t="e">
        <v>#NUM!</v>
      </c>
      <c r="Z43" s="62" t="e">
        <v>#NUM!</v>
      </c>
    </row>
    <row r="44" spans="1:45">
      <c r="A44" s="54" t="s">
        <v>58</v>
      </c>
      <c r="B44" s="54"/>
      <c r="C44" s="54"/>
      <c r="D44" s="54" t="s">
        <v>65</v>
      </c>
      <c r="E44" s="54"/>
      <c r="F44" s="54"/>
      <c r="G44" s="54"/>
      <c r="H44" s="54"/>
      <c r="I44" s="54"/>
      <c r="J44" s="54"/>
      <c r="K44" s="57"/>
      <c r="L44" s="62"/>
      <c r="M44" s="62"/>
      <c r="N44" s="62"/>
      <c r="O44" s="62"/>
      <c r="P44" s="62"/>
      <c r="Q44" s="54"/>
      <c r="R44" s="54"/>
      <c r="S44" s="54"/>
      <c r="V44" s="62" t="e">
        <v>#NUM!</v>
      </c>
      <c r="W44" s="62" t="e">
        <v>#NUM!</v>
      </c>
      <c r="X44" s="62" t="e">
        <v>#NUM!</v>
      </c>
      <c r="Y44" s="62" t="e">
        <v>#NUM!</v>
      </c>
      <c r="Z44" s="62" t="e">
        <v>#NUM!</v>
      </c>
    </row>
    <row r="45" spans="1:45">
      <c r="A45" s="54"/>
      <c r="B45" s="54"/>
      <c r="C45" s="54"/>
      <c r="D45" s="54"/>
      <c r="E45" s="54" t="s">
        <v>162</v>
      </c>
      <c r="F45" s="54"/>
      <c r="G45" s="54"/>
      <c r="H45" s="54"/>
      <c r="I45" s="54"/>
      <c r="J45" s="54"/>
      <c r="K45" s="57"/>
      <c r="L45" s="54"/>
      <c r="M45" s="54"/>
      <c r="N45" s="54"/>
      <c r="O45" s="54"/>
      <c r="P45" s="54"/>
      <c r="Q45" s="54"/>
      <c r="R45" s="54"/>
      <c r="S45" s="54"/>
    </row>
    <row r="46" spans="1:45">
      <c r="A46" s="54"/>
      <c r="B46" s="54" t="s">
        <v>59</v>
      </c>
      <c r="C46" s="54"/>
      <c r="D46" s="54" t="s">
        <v>64</v>
      </c>
      <c r="E46" s="62" t="e">
        <f t="array" ref="E46:J50">MMULT(E28:J32,MINVERSE(_xlfn.MUNIT(6)*T21:T26))</f>
        <v>#NUM!</v>
      </c>
      <c r="F46" s="62" t="e">
        <v>#NUM!</v>
      </c>
      <c r="G46" s="62" t="e">
        <v>#NUM!</v>
      </c>
      <c r="H46" s="62" t="e">
        <v>#NUM!</v>
      </c>
      <c r="I46" s="62" t="e">
        <v>#NUM!</v>
      </c>
      <c r="J46" s="62" t="e">
        <v>#NUM!</v>
      </c>
      <c r="K46" s="57"/>
      <c r="L46" s="54"/>
      <c r="M46" s="54"/>
      <c r="N46" s="54"/>
      <c r="O46" s="54"/>
      <c r="P46" s="54"/>
      <c r="Q46" s="54"/>
      <c r="R46" s="54"/>
      <c r="S46" s="54"/>
    </row>
    <row r="47" spans="1:45">
      <c r="A47" s="54"/>
      <c r="B47" s="54" t="s">
        <v>60</v>
      </c>
      <c r="C47" s="54"/>
      <c r="D47" s="54" t="s">
        <v>64</v>
      </c>
      <c r="E47" s="62" t="e">
        <v>#NUM!</v>
      </c>
      <c r="F47" s="62" t="e">
        <v>#NUM!</v>
      </c>
      <c r="G47" s="62" t="e">
        <v>#NUM!</v>
      </c>
      <c r="H47" s="62" t="e">
        <v>#NUM!</v>
      </c>
      <c r="I47" s="62" t="e">
        <v>#NUM!</v>
      </c>
      <c r="J47" s="62" t="e">
        <v>#NUM!</v>
      </c>
      <c r="K47" s="57"/>
      <c r="L47" s="54"/>
      <c r="M47" s="54"/>
      <c r="N47" s="54"/>
      <c r="O47" s="54"/>
      <c r="P47" s="54"/>
      <c r="Q47" s="54"/>
      <c r="R47" s="54"/>
      <c r="S47" s="54"/>
    </row>
    <row r="48" spans="1:45">
      <c r="A48" s="54"/>
      <c r="B48" s="54" t="s">
        <v>69</v>
      </c>
      <c r="C48" s="54"/>
      <c r="D48" s="54" t="s">
        <v>64</v>
      </c>
      <c r="E48" s="62" t="e">
        <v>#NUM!</v>
      </c>
      <c r="F48" s="62" t="e">
        <v>#NUM!</v>
      </c>
      <c r="G48" s="62" t="e">
        <v>#NUM!</v>
      </c>
      <c r="H48" s="62" t="e">
        <v>#NUM!</v>
      </c>
      <c r="I48" s="62" t="e">
        <v>#NUM!</v>
      </c>
      <c r="J48" s="62" t="e">
        <v>#NUM!</v>
      </c>
      <c r="K48" s="57"/>
      <c r="L48" s="54"/>
      <c r="M48" s="54"/>
      <c r="N48" s="54"/>
      <c r="O48" s="54"/>
      <c r="P48" s="54"/>
      <c r="Q48" s="54"/>
      <c r="R48" s="54"/>
      <c r="S48" s="54"/>
    </row>
    <row r="49" spans="1:45">
      <c r="A49" s="54"/>
      <c r="B49" s="54" t="s">
        <v>61</v>
      </c>
      <c r="C49" s="54"/>
      <c r="D49" s="54" t="s">
        <v>64</v>
      </c>
      <c r="E49" s="62" t="e">
        <v>#NUM!</v>
      </c>
      <c r="F49" s="62" t="e">
        <v>#NUM!</v>
      </c>
      <c r="G49" s="62" t="e">
        <v>#NUM!</v>
      </c>
      <c r="H49" s="62" t="e">
        <v>#NUM!</v>
      </c>
      <c r="I49" s="62" t="e">
        <v>#NUM!</v>
      </c>
      <c r="J49" s="62" t="e">
        <v>#NUM!</v>
      </c>
      <c r="K49" s="57"/>
      <c r="L49" s="54"/>
      <c r="M49" s="54"/>
      <c r="N49" s="54"/>
      <c r="O49" s="54"/>
      <c r="P49" s="54"/>
      <c r="Q49" s="54"/>
      <c r="R49" s="54"/>
      <c r="S49" s="54"/>
    </row>
    <row r="50" spans="1:45">
      <c r="A50" s="54"/>
      <c r="B50" s="54" t="s">
        <v>62</v>
      </c>
      <c r="C50" s="54"/>
      <c r="D50" s="54" t="s">
        <v>65</v>
      </c>
      <c r="E50" s="62" t="e">
        <v>#NUM!</v>
      </c>
      <c r="F50" s="62" t="e">
        <v>#NUM!</v>
      </c>
      <c r="G50" s="62" t="e">
        <v>#NUM!</v>
      </c>
      <c r="H50" s="62" t="e">
        <v>#NUM!</v>
      </c>
      <c r="I50" s="62" t="e">
        <v>#NUM!</v>
      </c>
      <c r="J50" s="62" t="e">
        <v>#NUM!</v>
      </c>
      <c r="K50" s="57"/>
      <c r="L50" s="54"/>
      <c r="M50" s="54"/>
      <c r="N50" s="54"/>
      <c r="O50" s="54"/>
      <c r="P50" s="54"/>
      <c r="Q50" s="54"/>
      <c r="R50" s="54"/>
      <c r="S50" s="54"/>
    </row>
    <row r="51" spans="1:45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</row>
    <row r="52" spans="1:45">
      <c r="A52" s="1" t="s">
        <v>140</v>
      </c>
      <c r="H52" s="61"/>
    </row>
    <row r="53" spans="1:45" ht="4.95" customHeight="1">
      <c r="A53" s="1"/>
      <c r="H53" s="61"/>
    </row>
    <row r="54" spans="1:45">
      <c r="A54" s="104" t="s">
        <v>138</v>
      </c>
      <c r="H54" s="61"/>
    </row>
    <row r="55" spans="1:45">
      <c r="A55" s="104"/>
      <c r="H55" s="61"/>
    </row>
    <row r="56" spans="1:45">
      <c r="A56" s="109" t="s">
        <v>149</v>
      </c>
      <c r="H56" s="61"/>
    </row>
    <row r="58" spans="1:45">
      <c r="A58" s="61" t="s">
        <v>134</v>
      </c>
      <c r="T58" s="1" t="s">
        <v>139</v>
      </c>
    </row>
    <row r="59" spans="1:45" ht="27">
      <c r="E59" s="105" t="s">
        <v>54</v>
      </c>
      <c r="F59" s="105" t="s">
        <v>55</v>
      </c>
      <c r="G59" s="105" t="s">
        <v>56</v>
      </c>
      <c r="H59" s="105" t="s">
        <v>67</v>
      </c>
      <c r="I59" s="105" t="s">
        <v>57</v>
      </c>
      <c r="J59" s="105" t="s">
        <v>58</v>
      </c>
      <c r="K59" s="2"/>
      <c r="L59" s="2"/>
      <c r="M59" s="2"/>
      <c r="N59" s="2"/>
      <c r="O59" s="2"/>
      <c r="P59" s="2"/>
      <c r="Q59" s="2"/>
      <c r="R59" s="108"/>
      <c r="S59" s="2"/>
      <c r="T59" s="92"/>
      <c r="U59" s="2"/>
      <c r="V59" s="105" t="s">
        <v>54</v>
      </c>
      <c r="W59" s="105" t="s">
        <v>55</v>
      </c>
      <c r="X59" s="105" t="s">
        <v>56</v>
      </c>
      <c r="Y59" s="105" t="s">
        <v>67</v>
      </c>
      <c r="Z59" s="105" t="s">
        <v>57</v>
      </c>
      <c r="AA59" s="105" t="s">
        <v>58</v>
      </c>
      <c r="AB59" s="2"/>
      <c r="AC59" s="2"/>
      <c r="AD59" s="2"/>
      <c r="AE59" s="2"/>
      <c r="AF59" s="2"/>
      <c r="AG59" s="2"/>
      <c r="AH59" s="105" t="s">
        <v>54</v>
      </c>
      <c r="AI59" s="105" t="s">
        <v>55</v>
      </c>
      <c r="AJ59" s="105" t="s">
        <v>56</v>
      </c>
      <c r="AK59" s="105" t="s">
        <v>67</v>
      </c>
      <c r="AL59" s="105" t="s">
        <v>57</v>
      </c>
      <c r="AM59" s="105" t="s">
        <v>58</v>
      </c>
      <c r="AN59" s="2"/>
      <c r="AO59" s="2"/>
      <c r="AP59" s="2"/>
      <c r="AQ59" s="2"/>
      <c r="AR59" s="2"/>
    </row>
    <row r="60" spans="1:45" ht="26.4">
      <c r="E60" s="105"/>
      <c r="F60" s="105"/>
      <c r="G60" s="105"/>
      <c r="H60" s="105"/>
      <c r="I60" s="105"/>
      <c r="J60" s="105"/>
      <c r="K60" s="105" t="s">
        <v>74</v>
      </c>
      <c r="L60" s="105" t="s">
        <v>60</v>
      </c>
      <c r="M60" s="105" t="s">
        <v>69</v>
      </c>
      <c r="N60" s="105" t="s">
        <v>61</v>
      </c>
      <c r="O60" s="105" t="s">
        <v>62</v>
      </c>
      <c r="P60" s="2"/>
      <c r="Q60" s="2"/>
      <c r="R60" s="108"/>
      <c r="S60" s="2"/>
      <c r="T60" s="92"/>
      <c r="U60" s="2"/>
      <c r="V60" s="105"/>
      <c r="W60" s="105"/>
      <c r="X60" s="105"/>
      <c r="Y60" s="105"/>
      <c r="Z60" s="105"/>
      <c r="AA60" s="105"/>
      <c r="AB60" s="105" t="s">
        <v>74</v>
      </c>
      <c r="AC60" s="105" t="s">
        <v>60</v>
      </c>
      <c r="AD60" s="105" t="s">
        <v>69</v>
      </c>
      <c r="AE60" s="105" t="s">
        <v>61</v>
      </c>
      <c r="AF60" s="105" t="s">
        <v>62</v>
      </c>
      <c r="AG60" s="2"/>
      <c r="AH60" s="105"/>
      <c r="AI60" s="105"/>
      <c r="AJ60" s="105"/>
      <c r="AK60" s="105"/>
      <c r="AL60" s="105"/>
      <c r="AM60" s="105"/>
      <c r="AN60" s="105" t="s">
        <v>74</v>
      </c>
      <c r="AO60" s="105" t="s">
        <v>60</v>
      </c>
      <c r="AP60" s="105" t="s">
        <v>69</v>
      </c>
      <c r="AQ60" s="105" t="s">
        <v>61</v>
      </c>
      <c r="AR60" s="105" t="s">
        <v>62</v>
      </c>
    </row>
    <row r="61" spans="1:45">
      <c r="J61" s="76"/>
      <c r="R61" s="76"/>
      <c r="V61" s="54"/>
      <c r="W61" s="54"/>
      <c r="X61" s="54"/>
      <c r="Y61" s="54"/>
      <c r="Z61" s="54"/>
      <c r="AA61" s="54"/>
    </row>
    <row r="62" spans="1:45">
      <c r="J62" s="76"/>
      <c r="R62" s="76"/>
      <c r="U62" s="3" t="s">
        <v>85</v>
      </c>
      <c r="AB62" s="1" t="s">
        <v>15</v>
      </c>
      <c r="AH62" s="1" t="s">
        <v>135</v>
      </c>
    </row>
    <row r="63" spans="1:45">
      <c r="A63" s="54" t="s">
        <v>54</v>
      </c>
      <c r="B63" s="54"/>
      <c r="C63" s="54"/>
      <c r="D63" s="106" t="s">
        <v>150</v>
      </c>
      <c r="E63" s="72" t="e" cm="1">
        <f t="array" ref="E63">MINVERSE(_xlfn.MUNIT(6)-MMULT(L39:P44,E46:J50))</f>
        <v>#VALUE!</v>
      </c>
      <c r="F63" s="72"/>
      <c r="G63" s="72"/>
      <c r="H63" s="72"/>
      <c r="I63" s="72"/>
      <c r="J63" s="94"/>
      <c r="K63" s="72" t="e" cm="1">
        <f t="array" ref="K63">MMULT(_xlfn.ANCHORARRAY(E63),L39:P44)</f>
        <v>#VALUE!</v>
      </c>
      <c r="L63" s="72"/>
      <c r="M63" s="72"/>
      <c r="N63" s="72"/>
      <c r="O63" s="72"/>
      <c r="P63" t="s">
        <v>153</v>
      </c>
      <c r="R63" s="76"/>
      <c r="T63" s="54"/>
      <c r="U63" s="54"/>
      <c r="V63" s="75">
        <v>0</v>
      </c>
      <c r="W63" s="75">
        <v>0</v>
      </c>
      <c r="X63" s="75">
        <v>0</v>
      </c>
      <c r="Y63" s="75">
        <v>0</v>
      </c>
      <c r="Z63" s="75">
        <v>0</v>
      </c>
      <c r="AA63" s="75">
        <v>0</v>
      </c>
      <c r="AB63" s="96" cm="1">
        <f t="array" ref="AB63:AF68">L39:P44</f>
        <v>0</v>
      </c>
      <c r="AC63" s="97">
        <v>0</v>
      </c>
      <c r="AD63" s="97">
        <v>0</v>
      </c>
      <c r="AE63" s="97">
        <v>0</v>
      </c>
      <c r="AF63" s="98">
        <v>0</v>
      </c>
      <c r="AH63" s="72" t="e" cm="1">
        <f t="array" ref="AH63">MINVERSE(_xlfn.MUNIT(11)-V63:AF73)</f>
        <v>#NUM!</v>
      </c>
      <c r="AI63" s="72"/>
      <c r="AJ63" s="72"/>
      <c r="AK63" s="72"/>
      <c r="AL63" s="72"/>
      <c r="AM63" s="94"/>
      <c r="AN63" s="72"/>
      <c r="AO63" s="72"/>
      <c r="AP63" s="72"/>
      <c r="AQ63" s="72"/>
      <c r="AR63" s="72"/>
    </row>
    <row r="64" spans="1:45">
      <c r="A64" s="54" t="s">
        <v>55</v>
      </c>
      <c r="B64" s="54"/>
      <c r="C64" s="54"/>
      <c r="D64" s="107" t="s">
        <v>130</v>
      </c>
      <c r="E64" s="72"/>
      <c r="F64" s="72"/>
      <c r="G64" s="72"/>
      <c r="H64" s="72"/>
      <c r="I64" s="72"/>
      <c r="J64" s="94"/>
      <c r="K64" s="72"/>
      <c r="L64" s="72"/>
      <c r="M64" s="72"/>
      <c r="N64" s="72"/>
      <c r="O64" s="72"/>
      <c r="P64" s="61" t="s">
        <v>131</v>
      </c>
      <c r="R64" s="76"/>
      <c r="T64" s="54"/>
      <c r="U64" s="54"/>
      <c r="V64" s="75">
        <v>0</v>
      </c>
      <c r="W64" s="75">
        <v>0</v>
      </c>
      <c r="X64" s="75">
        <v>0</v>
      </c>
      <c r="Y64" s="75">
        <v>0</v>
      </c>
      <c r="Z64" s="75">
        <v>0</v>
      </c>
      <c r="AA64" s="75">
        <v>0</v>
      </c>
      <c r="AB64" s="99">
        <v>0</v>
      </c>
      <c r="AC64" s="62">
        <v>0</v>
      </c>
      <c r="AD64" s="62">
        <v>0</v>
      </c>
      <c r="AE64" s="62">
        <v>0</v>
      </c>
      <c r="AF64" s="100">
        <v>0</v>
      </c>
      <c r="AH64" s="72"/>
      <c r="AI64" s="72"/>
      <c r="AJ64" s="72"/>
      <c r="AK64" s="72"/>
      <c r="AL64" s="72"/>
      <c r="AM64" s="94"/>
      <c r="AN64" s="72"/>
      <c r="AO64" s="72"/>
      <c r="AP64" s="72"/>
      <c r="AQ64" s="72"/>
      <c r="AR64" s="72"/>
    </row>
    <row r="65" spans="1:45">
      <c r="A65" s="54" t="s">
        <v>56</v>
      </c>
      <c r="B65" s="54"/>
      <c r="C65" s="54"/>
      <c r="E65" s="72"/>
      <c r="F65" s="72"/>
      <c r="G65" s="72"/>
      <c r="H65" s="72"/>
      <c r="I65" s="72"/>
      <c r="J65" s="94"/>
      <c r="K65" s="72"/>
      <c r="L65" s="72"/>
      <c r="M65" s="72"/>
      <c r="N65" s="72"/>
      <c r="O65" s="72"/>
      <c r="R65" s="76"/>
      <c r="T65" s="54"/>
      <c r="U65" s="54"/>
      <c r="V65" s="75">
        <v>0</v>
      </c>
      <c r="W65" s="75">
        <v>0</v>
      </c>
      <c r="X65" s="75">
        <v>0</v>
      </c>
      <c r="Y65" s="75">
        <v>0</v>
      </c>
      <c r="Z65" s="75">
        <v>0</v>
      </c>
      <c r="AA65" s="75">
        <v>0</v>
      </c>
      <c r="AB65" s="99">
        <v>0</v>
      </c>
      <c r="AC65" s="62">
        <v>0</v>
      </c>
      <c r="AD65" s="62">
        <v>0</v>
      </c>
      <c r="AE65" s="62">
        <v>0</v>
      </c>
      <c r="AF65" s="100">
        <v>0</v>
      </c>
      <c r="AH65" s="72"/>
      <c r="AI65" s="72"/>
      <c r="AJ65" s="72"/>
      <c r="AK65" s="72"/>
      <c r="AL65" s="72"/>
      <c r="AM65" s="94"/>
      <c r="AN65" s="72"/>
      <c r="AO65" s="72"/>
      <c r="AP65" s="72"/>
      <c r="AQ65" s="72"/>
      <c r="AR65" s="72"/>
    </row>
    <row r="66" spans="1:45">
      <c r="A66" s="54" t="s">
        <v>67</v>
      </c>
      <c r="B66" s="54"/>
      <c r="C66" s="54"/>
      <c r="E66" s="72"/>
      <c r="F66" s="72"/>
      <c r="G66" s="72"/>
      <c r="H66" s="72"/>
      <c r="I66" s="72"/>
      <c r="J66" s="94"/>
      <c r="K66" s="72"/>
      <c r="L66" s="72"/>
      <c r="M66" s="72"/>
      <c r="N66" s="72"/>
      <c r="O66" s="72"/>
      <c r="R66" s="76"/>
      <c r="T66" s="54"/>
      <c r="U66" s="54"/>
      <c r="V66" s="75">
        <v>0</v>
      </c>
      <c r="W66" s="75">
        <v>0</v>
      </c>
      <c r="X66" s="75">
        <v>0</v>
      </c>
      <c r="Y66" s="75">
        <v>0</v>
      </c>
      <c r="Z66" s="75">
        <v>0</v>
      </c>
      <c r="AA66" s="75">
        <v>0</v>
      </c>
      <c r="AB66" s="99">
        <v>0</v>
      </c>
      <c r="AC66" s="62">
        <v>0</v>
      </c>
      <c r="AD66" s="62">
        <v>0</v>
      </c>
      <c r="AE66" s="62">
        <v>0</v>
      </c>
      <c r="AF66" s="100">
        <v>0</v>
      </c>
      <c r="AH66" s="72"/>
      <c r="AI66" s="72"/>
      <c r="AJ66" s="72"/>
      <c r="AK66" s="72"/>
      <c r="AL66" s="72"/>
      <c r="AM66" s="94"/>
      <c r="AN66" s="72"/>
      <c r="AO66" s="72"/>
      <c r="AP66" s="72"/>
      <c r="AQ66" s="72"/>
      <c r="AR66" s="72"/>
    </row>
    <row r="67" spans="1:45">
      <c r="A67" s="54" t="s">
        <v>57</v>
      </c>
      <c r="B67" s="54"/>
      <c r="C67" s="54"/>
      <c r="E67" s="72"/>
      <c r="F67" s="72"/>
      <c r="G67" s="72"/>
      <c r="H67" s="72"/>
      <c r="I67" s="72"/>
      <c r="J67" s="94"/>
      <c r="K67" s="72"/>
      <c r="L67" s="72"/>
      <c r="M67" s="72"/>
      <c r="N67" s="72"/>
      <c r="O67" s="72"/>
      <c r="R67" s="76"/>
      <c r="T67" s="54"/>
      <c r="U67" s="54"/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99">
        <v>0</v>
      </c>
      <c r="AC67" s="62">
        <v>0</v>
      </c>
      <c r="AD67" s="62">
        <v>0</v>
      </c>
      <c r="AE67" s="62">
        <v>0</v>
      </c>
      <c r="AF67" s="100">
        <v>0</v>
      </c>
      <c r="AH67" s="72"/>
      <c r="AI67" s="72"/>
      <c r="AJ67" s="72"/>
      <c r="AK67" s="72"/>
      <c r="AL67" s="72"/>
      <c r="AM67" s="94"/>
      <c r="AN67" s="72"/>
      <c r="AO67" s="72"/>
      <c r="AP67" s="72"/>
      <c r="AQ67" s="72"/>
      <c r="AR67" s="72"/>
    </row>
    <row r="68" spans="1:45">
      <c r="A68" s="54" t="s">
        <v>58</v>
      </c>
      <c r="B68" s="54"/>
      <c r="C68" s="90"/>
      <c r="D68" s="91"/>
      <c r="E68" s="93"/>
      <c r="F68" s="93"/>
      <c r="G68" s="93"/>
      <c r="H68" s="93"/>
      <c r="I68" s="93"/>
      <c r="J68" s="95"/>
      <c r="K68" s="93"/>
      <c r="L68" s="93"/>
      <c r="M68" s="93"/>
      <c r="N68" s="93"/>
      <c r="O68" s="93"/>
      <c r="P68" s="91"/>
      <c r="Q68" s="91"/>
      <c r="R68" s="76"/>
      <c r="T68" s="54"/>
      <c r="U68" s="54"/>
      <c r="V68" s="75">
        <v>0</v>
      </c>
      <c r="W68" s="75">
        <v>0</v>
      </c>
      <c r="X68" s="75">
        <v>0</v>
      </c>
      <c r="Y68" s="75">
        <v>0</v>
      </c>
      <c r="Z68" s="75">
        <v>0</v>
      </c>
      <c r="AA68" s="75">
        <v>0</v>
      </c>
      <c r="AB68" s="101">
        <v>0</v>
      </c>
      <c r="AC68" s="102">
        <v>0</v>
      </c>
      <c r="AD68" s="102">
        <v>0</v>
      </c>
      <c r="AE68" s="102">
        <v>0</v>
      </c>
      <c r="AF68" s="103">
        <v>0</v>
      </c>
      <c r="AH68" s="93"/>
      <c r="AI68" s="93"/>
      <c r="AJ68" s="93"/>
      <c r="AK68" s="93"/>
      <c r="AL68" s="93"/>
      <c r="AM68" s="95"/>
      <c r="AN68" s="93"/>
      <c r="AO68" s="93"/>
      <c r="AP68" s="93"/>
      <c r="AQ68" s="93"/>
      <c r="AR68" s="93"/>
    </row>
    <row r="69" spans="1:45">
      <c r="B69" s="54" t="s">
        <v>59</v>
      </c>
      <c r="C69" s="54"/>
      <c r="D69" s="106" t="s">
        <v>151</v>
      </c>
      <c r="E69" s="72" t="e" cm="1">
        <f t="array" ref="E69">MMULT(MINVERSE(_xlfn.MUNIT(5)-MMULT(E46:J50,L39:P44)),E46:J50)</f>
        <v>#NUM!</v>
      </c>
      <c r="F69" s="72"/>
      <c r="G69" s="72"/>
      <c r="H69" s="72"/>
      <c r="I69" s="72"/>
      <c r="J69" s="94"/>
      <c r="K69" s="72" t="e" cm="1">
        <f t="array" ref="K69">MINVERSE(_xlfn.MUNIT(5)-MMULT(E46:J50,L39:P44))</f>
        <v>#NUM!</v>
      </c>
      <c r="L69" s="72"/>
      <c r="M69" s="72"/>
      <c r="N69" s="72"/>
      <c r="O69" s="72"/>
      <c r="P69" t="s">
        <v>152</v>
      </c>
      <c r="R69" s="76"/>
      <c r="T69" s="54"/>
      <c r="U69" s="3" t="s">
        <v>16</v>
      </c>
      <c r="V69" s="96" t="e" cm="1">
        <f t="array" ref="V69:AA73">E46:J50</f>
        <v>#NUM!</v>
      </c>
      <c r="W69" s="97" t="e">
        <v>#NUM!</v>
      </c>
      <c r="X69" s="97" t="e">
        <v>#NUM!</v>
      </c>
      <c r="Y69" s="97" t="e">
        <v>#NUM!</v>
      </c>
      <c r="Z69" s="97" t="e">
        <v>#NUM!</v>
      </c>
      <c r="AA69" s="98" t="e">
        <v>#NUM!</v>
      </c>
      <c r="AB69" s="75">
        <v>0</v>
      </c>
      <c r="AC69" s="75">
        <v>0</v>
      </c>
      <c r="AD69" s="75">
        <v>0</v>
      </c>
      <c r="AE69" s="75">
        <v>0</v>
      </c>
      <c r="AF69" s="75">
        <v>0</v>
      </c>
      <c r="AH69" s="72"/>
      <c r="AI69" s="72"/>
      <c r="AJ69" s="72"/>
      <c r="AK69" s="72"/>
      <c r="AL69" s="72"/>
      <c r="AM69" s="94"/>
      <c r="AN69" s="72"/>
      <c r="AO69" s="72"/>
      <c r="AP69" s="72"/>
      <c r="AQ69" s="72"/>
      <c r="AR69" s="72"/>
    </row>
    <row r="70" spans="1:45">
      <c r="B70" s="54" t="s">
        <v>60</v>
      </c>
      <c r="C70" s="54"/>
      <c r="D70" s="107" t="s">
        <v>132</v>
      </c>
      <c r="E70" s="72"/>
      <c r="F70" s="72"/>
      <c r="G70" s="72"/>
      <c r="H70" s="72"/>
      <c r="I70" s="72"/>
      <c r="J70" s="94"/>
      <c r="K70" s="72"/>
      <c r="L70" s="72"/>
      <c r="M70" s="72"/>
      <c r="N70" s="72"/>
      <c r="O70" s="72"/>
      <c r="P70" s="61" t="s">
        <v>133</v>
      </c>
      <c r="R70" s="76"/>
      <c r="T70" s="54"/>
      <c r="V70" s="99" t="e">
        <v>#NUM!</v>
      </c>
      <c r="W70" s="62" t="e">
        <v>#NUM!</v>
      </c>
      <c r="X70" s="62" t="e">
        <v>#NUM!</v>
      </c>
      <c r="Y70" s="62" t="e">
        <v>#NUM!</v>
      </c>
      <c r="Z70" s="62" t="e">
        <v>#NUM!</v>
      </c>
      <c r="AA70" s="100" t="e">
        <v>#NUM!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H70" s="72"/>
      <c r="AI70" s="72"/>
      <c r="AJ70" s="72"/>
      <c r="AK70" s="72"/>
      <c r="AL70" s="72"/>
      <c r="AM70" s="94"/>
      <c r="AN70" s="72"/>
      <c r="AO70" s="72"/>
      <c r="AP70" s="72"/>
      <c r="AQ70" s="72"/>
      <c r="AR70" s="72"/>
    </row>
    <row r="71" spans="1:45">
      <c r="B71" s="54" t="s">
        <v>69</v>
      </c>
      <c r="C71" s="54"/>
      <c r="E71" s="72"/>
      <c r="F71" s="72"/>
      <c r="G71" s="72"/>
      <c r="H71" s="72"/>
      <c r="I71" s="72"/>
      <c r="J71" s="94"/>
      <c r="K71" s="72"/>
      <c r="L71" s="72"/>
      <c r="M71" s="72"/>
      <c r="N71" s="72"/>
      <c r="O71" s="72"/>
      <c r="R71" s="76"/>
      <c r="T71" s="54"/>
      <c r="V71" s="99" t="e">
        <v>#NUM!</v>
      </c>
      <c r="W71" s="62" t="e">
        <v>#NUM!</v>
      </c>
      <c r="X71" s="62" t="e">
        <v>#NUM!</v>
      </c>
      <c r="Y71" s="62" t="e">
        <v>#NUM!</v>
      </c>
      <c r="Z71" s="62" t="e">
        <v>#NUM!</v>
      </c>
      <c r="AA71" s="100" t="e">
        <v>#NUM!</v>
      </c>
      <c r="AB71" s="75">
        <v>0</v>
      </c>
      <c r="AC71" s="75">
        <v>0</v>
      </c>
      <c r="AD71" s="75">
        <v>0</v>
      </c>
      <c r="AE71" s="75">
        <v>0</v>
      </c>
      <c r="AF71" s="75">
        <v>0</v>
      </c>
      <c r="AH71" s="72"/>
      <c r="AI71" s="72"/>
      <c r="AJ71" s="72"/>
      <c r="AK71" s="72"/>
      <c r="AL71" s="72"/>
      <c r="AM71" s="94"/>
      <c r="AN71" s="72"/>
      <c r="AO71" s="72"/>
      <c r="AP71" s="72"/>
      <c r="AQ71" s="72"/>
      <c r="AR71" s="72"/>
    </row>
    <row r="72" spans="1:45">
      <c r="B72" s="54" t="s">
        <v>61</v>
      </c>
      <c r="C72" s="54"/>
      <c r="E72" s="72"/>
      <c r="F72" s="72"/>
      <c r="G72" s="72"/>
      <c r="H72" s="72"/>
      <c r="I72" s="72"/>
      <c r="J72" s="94"/>
      <c r="K72" s="72"/>
      <c r="L72" s="72"/>
      <c r="M72" s="72"/>
      <c r="N72" s="72"/>
      <c r="O72" s="72"/>
      <c r="R72" s="76"/>
      <c r="T72" s="54"/>
      <c r="V72" s="99" t="e">
        <v>#NUM!</v>
      </c>
      <c r="W72" s="62" t="e">
        <v>#NUM!</v>
      </c>
      <c r="X72" s="62" t="e">
        <v>#NUM!</v>
      </c>
      <c r="Y72" s="62" t="e">
        <v>#NUM!</v>
      </c>
      <c r="Z72" s="62" t="e">
        <v>#NUM!</v>
      </c>
      <c r="AA72" s="100" t="e">
        <v>#NUM!</v>
      </c>
      <c r="AB72" s="75">
        <v>0</v>
      </c>
      <c r="AC72" s="75">
        <v>0</v>
      </c>
      <c r="AD72" s="75">
        <v>0</v>
      </c>
      <c r="AE72" s="75">
        <v>0</v>
      </c>
      <c r="AF72" s="75">
        <v>0</v>
      </c>
      <c r="AH72" s="72"/>
      <c r="AI72" s="72"/>
      <c r="AJ72" s="72"/>
      <c r="AK72" s="72"/>
      <c r="AL72" s="72"/>
      <c r="AM72" s="94"/>
      <c r="AN72" s="72"/>
      <c r="AO72" s="72"/>
      <c r="AP72" s="72"/>
      <c r="AQ72" s="72"/>
      <c r="AR72" s="72"/>
    </row>
    <row r="73" spans="1:45">
      <c r="B73" s="54" t="s">
        <v>62</v>
      </c>
      <c r="C73" s="54"/>
      <c r="E73" s="72"/>
      <c r="F73" s="72"/>
      <c r="G73" s="72"/>
      <c r="H73" s="72"/>
      <c r="I73" s="72"/>
      <c r="J73" s="94"/>
      <c r="K73" s="72"/>
      <c r="L73" s="72"/>
      <c r="M73" s="72"/>
      <c r="N73" s="72"/>
      <c r="O73" s="72"/>
      <c r="R73" s="76"/>
      <c r="T73" s="54"/>
      <c r="V73" s="101" t="e">
        <v>#NUM!</v>
      </c>
      <c r="W73" s="102" t="e">
        <v>#NUM!</v>
      </c>
      <c r="X73" s="102" t="e">
        <v>#NUM!</v>
      </c>
      <c r="Y73" s="102" t="e">
        <v>#NUM!</v>
      </c>
      <c r="Z73" s="102" t="e">
        <v>#NUM!</v>
      </c>
      <c r="AA73" s="103" t="e">
        <v>#NUM!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H73" s="72"/>
      <c r="AI73" s="72"/>
      <c r="AJ73" s="72"/>
      <c r="AK73" s="72"/>
      <c r="AL73" s="72"/>
      <c r="AM73" s="94"/>
      <c r="AN73" s="72"/>
      <c r="AO73" s="72"/>
      <c r="AP73" s="72"/>
      <c r="AQ73" s="72"/>
      <c r="AR73" s="72"/>
    </row>
    <row r="74" spans="1:45">
      <c r="J74" s="76"/>
      <c r="R74" s="76"/>
    </row>
    <row r="76" spans="1:45">
      <c r="A76" s="61" t="s">
        <v>136</v>
      </c>
      <c r="E76" s="1" t="s">
        <v>137</v>
      </c>
    </row>
    <row r="78" spans="1:4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</row>
    <row r="79" spans="1:45">
      <c r="A79" s="1" t="s">
        <v>141</v>
      </c>
      <c r="H79" s="61"/>
    </row>
    <row r="80" spans="1:45">
      <c r="L80" s="1" t="s">
        <v>163</v>
      </c>
    </row>
    <row r="81" spans="2:18">
      <c r="C81" t="s">
        <v>142</v>
      </c>
      <c r="D81" t="s">
        <v>65</v>
      </c>
      <c r="L81" s="59">
        <v>25</v>
      </c>
      <c r="M81" s="59">
        <v>8</v>
      </c>
      <c r="N81" s="59">
        <v>20</v>
      </c>
      <c r="O81" s="59">
        <v>0</v>
      </c>
      <c r="P81" s="59">
        <v>5</v>
      </c>
    </row>
    <row r="82" spans="2:18">
      <c r="L82" s="1" t="s">
        <v>164</v>
      </c>
    </row>
    <row r="83" spans="2:18">
      <c r="C83" t="s">
        <v>142</v>
      </c>
      <c r="D83" t="s">
        <v>65</v>
      </c>
      <c r="L83" s="72"/>
      <c r="M83" s="72"/>
      <c r="N83" s="72"/>
      <c r="O83" s="72"/>
      <c r="P83" s="72"/>
      <c r="R83" t="s">
        <v>143</v>
      </c>
    </row>
    <row r="84" spans="2:18">
      <c r="E84" s="1" t="s">
        <v>156</v>
      </c>
      <c r="L84" s="1" t="s">
        <v>157</v>
      </c>
    </row>
    <row r="85" spans="2:18">
      <c r="C85" t="s">
        <v>142</v>
      </c>
      <c r="D85" t="s">
        <v>65</v>
      </c>
      <c r="E85" s="72"/>
      <c r="F85" s="72"/>
      <c r="G85" s="72"/>
      <c r="H85" s="72"/>
      <c r="I85" s="72"/>
      <c r="J85" s="72"/>
      <c r="L85" s="72"/>
      <c r="M85" s="72"/>
      <c r="N85" s="72"/>
      <c r="O85" s="72"/>
      <c r="P85" s="72"/>
      <c r="R85" t="s">
        <v>144</v>
      </c>
    </row>
    <row r="87" spans="2:18">
      <c r="E87" s="1" t="s">
        <v>158</v>
      </c>
      <c r="L87" s="1" t="s">
        <v>159</v>
      </c>
    </row>
    <row r="88" spans="2:18">
      <c r="B88" s="54" t="s">
        <v>59</v>
      </c>
      <c r="E88" s="72" t="e" cm="1">
        <f t="array" ref="E88">MMULT(_xlfn.MUNIT(5)*_xlfn.ANCHORARRAY(L83),MMULT(E46:J50,_xlfn.ANCHORARRAY(E63)))</f>
        <v>#VALUE!</v>
      </c>
      <c r="F88" s="72"/>
      <c r="G88" s="72"/>
      <c r="H88" s="72"/>
      <c r="I88" s="72"/>
      <c r="J88" s="72"/>
      <c r="L88" s="72" t="e" cm="1">
        <f t="array" ref="L88">MMULT(_xlfn.MUNIT(5)*_xlfn.ANCHORARRAY(L83),_xlfn.ANCHORARRAY(K69))</f>
        <v>#NUM!</v>
      </c>
      <c r="M88" s="72"/>
      <c r="N88" s="72"/>
      <c r="O88" s="72"/>
      <c r="P88" s="72"/>
      <c r="R88" s="61" t="s">
        <v>145</v>
      </c>
    </row>
    <row r="89" spans="2:18">
      <c r="B89" s="54" t="s">
        <v>60</v>
      </c>
      <c r="E89" s="72"/>
      <c r="F89" s="72"/>
      <c r="G89" s="72"/>
      <c r="H89" s="72"/>
      <c r="I89" s="72"/>
      <c r="J89" s="72"/>
      <c r="L89" s="72"/>
      <c r="M89" s="72"/>
      <c r="N89" s="72"/>
      <c r="O89" s="72"/>
      <c r="P89" s="72"/>
    </row>
    <row r="90" spans="2:18">
      <c r="B90" s="54" t="s">
        <v>69</v>
      </c>
      <c r="E90" s="72"/>
      <c r="F90" s="72"/>
      <c r="G90" s="72"/>
      <c r="H90" s="72"/>
      <c r="I90" s="72"/>
      <c r="J90" s="72"/>
      <c r="L90" s="72"/>
      <c r="M90" s="72"/>
      <c r="N90" s="72"/>
      <c r="O90" s="72"/>
      <c r="P90" s="72"/>
    </row>
    <row r="91" spans="2:18">
      <c r="B91" s="54" t="s">
        <v>61</v>
      </c>
      <c r="E91" s="72"/>
      <c r="F91" s="72"/>
      <c r="G91" s="72"/>
      <c r="H91" s="72"/>
      <c r="I91" s="72"/>
      <c r="J91" s="72"/>
      <c r="L91" s="72"/>
      <c r="M91" s="72"/>
      <c r="N91" s="72"/>
      <c r="O91" s="72"/>
      <c r="P91" s="72"/>
    </row>
    <row r="92" spans="2:18">
      <c r="B92" s="54" t="s">
        <v>62</v>
      </c>
      <c r="E92" s="72"/>
      <c r="F92" s="72"/>
      <c r="G92" s="72"/>
      <c r="H92" s="72"/>
      <c r="I92" s="72"/>
      <c r="J92" s="72"/>
      <c r="L92" s="72"/>
      <c r="M92" s="72"/>
      <c r="N92" s="72"/>
      <c r="O92" s="72"/>
      <c r="P92" s="72"/>
    </row>
  </sheetData>
  <hyperlinks>
    <hyperlink ref="A54" r:id="rId1" xr:uid="{0D4905D6-741C-9A46-A39E-9E61BB2B293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DA4B-4C2B-CA46-B14D-3A7F411B0C08}">
  <dimension ref="A1:AB80"/>
  <sheetViews>
    <sheetView showGridLines="0" zoomScale="13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5" sqref="I15:K16"/>
    </sheetView>
  </sheetViews>
  <sheetFormatPr defaultColWidth="11.5546875" defaultRowHeight="14.4"/>
  <cols>
    <col min="2" max="2" width="12.6640625" customWidth="1"/>
    <col min="3" max="3" width="12.44140625" customWidth="1"/>
    <col min="4" max="4" width="5.6640625" bestFit="1" customWidth="1"/>
    <col min="5" max="7" width="8" customWidth="1"/>
    <col min="8" max="8" width="3.109375" customWidth="1"/>
    <col min="9" max="10" width="7.6640625" customWidth="1"/>
    <col min="11" max="11" width="9.33203125" customWidth="1"/>
    <col min="12" max="12" width="3.77734375" customWidth="1"/>
    <col min="13" max="13" width="5.33203125" customWidth="1"/>
    <col min="14" max="14" width="3.6640625" customWidth="1"/>
    <col min="15" max="15" width="6.44140625" customWidth="1"/>
    <col min="16" max="17" width="3.6640625" customWidth="1"/>
    <col min="18" max="20" width="7.6640625" customWidth="1"/>
    <col min="21" max="21" width="3" customWidth="1"/>
    <col min="22" max="24" width="7.6640625" customWidth="1"/>
    <col min="25" max="25" width="4.44140625" customWidth="1"/>
    <col min="26" max="26" width="5.44140625" customWidth="1"/>
    <col min="27" max="27" width="4.44140625" customWidth="1"/>
    <col min="28" max="28" width="7" customWidth="1"/>
  </cols>
  <sheetData>
    <row r="1" spans="1:24" ht="46.8">
      <c r="A1" s="61" t="s">
        <v>32</v>
      </c>
      <c r="E1" s="63" t="s">
        <v>76</v>
      </c>
      <c r="F1" s="63" t="s">
        <v>77</v>
      </c>
      <c r="G1" s="63" t="s">
        <v>68</v>
      </c>
      <c r="H1" s="63"/>
      <c r="I1" s="63"/>
      <c r="J1" s="63"/>
      <c r="K1" s="63"/>
      <c r="R1" s="63" t="s">
        <v>76</v>
      </c>
      <c r="S1" s="63" t="s">
        <v>77</v>
      </c>
      <c r="T1" s="63" t="s">
        <v>68</v>
      </c>
    </row>
    <row r="2" spans="1:24" ht="40.799999999999997">
      <c r="B2" s="61" t="s">
        <v>33</v>
      </c>
      <c r="E2" s="63"/>
      <c r="F2" s="63"/>
      <c r="G2" s="63"/>
      <c r="H2" s="63"/>
      <c r="I2" s="63" t="s">
        <v>78</v>
      </c>
      <c r="J2" s="63" t="s">
        <v>79</v>
      </c>
      <c r="K2" s="63" t="s">
        <v>104</v>
      </c>
      <c r="V2" s="63" t="s">
        <v>78</v>
      </c>
      <c r="W2" s="63" t="s">
        <v>79</v>
      </c>
      <c r="X2" s="63" t="s">
        <v>104</v>
      </c>
    </row>
    <row r="3" spans="1:24">
      <c r="C3" s="61" t="s">
        <v>52</v>
      </c>
    </row>
    <row r="4" spans="1:24">
      <c r="D4" s="61" t="s">
        <v>9</v>
      </c>
      <c r="E4" s="2"/>
      <c r="F4" s="2"/>
      <c r="G4" s="2"/>
      <c r="I4" s="2"/>
      <c r="J4" s="2"/>
      <c r="K4" s="2"/>
      <c r="M4" s="2"/>
    </row>
    <row r="5" spans="1:24" s="38" customFormat="1">
      <c r="A5" s="67" t="s">
        <v>82</v>
      </c>
      <c r="D5" s="67"/>
    </row>
    <row r="6" spans="1:24">
      <c r="I6" s="1" t="s">
        <v>63</v>
      </c>
      <c r="M6" s="1" t="s">
        <v>21</v>
      </c>
      <c r="O6" s="1" t="s">
        <v>81</v>
      </c>
    </row>
    <row r="7" spans="1:24">
      <c r="A7" t="s">
        <v>76</v>
      </c>
      <c r="D7" t="s">
        <v>0</v>
      </c>
      <c r="I7" s="59"/>
      <c r="J7" s="59"/>
      <c r="K7" s="59"/>
      <c r="M7" s="59"/>
      <c r="O7" s="55">
        <f>SUM(M7,I7:K7)</f>
        <v>0</v>
      </c>
    </row>
    <row r="8" spans="1:24">
      <c r="A8" t="s">
        <v>77</v>
      </c>
      <c r="D8" t="s">
        <v>0</v>
      </c>
      <c r="I8" s="59"/>
      <c r="J8" s="59"/>
      <c r="K8" s="59"/>
      <c r="M8" s="59"/>
      <c r="O8" s="55">
        <f t="shared" ref="O8:O9" si="0">SUM(M8,I8:K8)</f>
        <v>0</v>
      </c>
    </row>
    <row r="9" spans="1:24">
      <c r="A9" t="s">
        <v>68</v>
      </c>
      <c r="D9" t="s">
        <v>0</v>
      </c>
      <c r="I9" s="59"/>
      <c r="J9" s="59"/>
      <c r="K9" s="59"/>
      <c r="M9" s="59"/>
      <c r="O9" s="55">
        <f t="shared" si="0"/>
        <v>0</v>
      </c>
    </row>
    <row r="10" spans="1:24">
      <c r="E10" s="1" t="s">
        <v>160</v>
      </c>
      <c r="O10" s="1" t="s">
        <v>106</v>
      </c>
    </row>
    <row r="11" spans="1:24">
      <c r="B11" t="s">
        <v>78</v>
      </c>
      <c r="D11" t="s">
        <v>0</v>
      </c>
      <c r="E11" s="59"/>
      <c r="F11" s="59"/>
      <c r="G11" s="59"/>
      <c r="O11" s="55">
        <f>SUM(E11:G11)</f>
        <v>0</v>
      </c>
    </row>
    <row r="12" spans="1:24">
      <c r="B12" t="s">
        <v>79</v>
      </c>
      <c r="D12" t="s">
        <v>0</v>
      </c>
      <c r="E12" s="59"/>
      <c r="F12" s="59"/>
      <c r="G12" s="59"/>
      <c r="O12" s="55">
        <f t="shared" ref="O12:O13" si="1">SUM(E12:G12)</f>
        <v>0</v>
      </c>
    </row>
    <row r="13" spans="1:24">
      <c r="B13" t="s">
        <v>104</v>
      </c>
      <c r="D13" t="s">
        <v>0</v>
      </c>
      <c r="E13" s="59"/>
      <c r="F13" s="59"/>
      <c r="G13" s="59"/>
      <c r="O13" s="55">
        <f t="shared" si="1"/>
        <v>0</v>
      </c>
    </row>
    <row r="14" spans="1:24">
      <c r="I14" s="1" t="s">
        <v>163</v>
      </c>
    </row>
    <row r="15" spans="1:24">
      <c r="C15" t="s">
        <v>67</v>
      </c>
      <c r="D15" t="s">
        <v>80</v>
      </c>
      <c r="I15" s="59"/>
      <c r="J15" s="59"/>
      <c r="K15" s="59"/>
    </row>
    <row r="16" spans="1:24">
      <c r="C16" t="s">
        <v>117</v>
      </c>
      <c r="D16" t="s">
        <v>0</v>
      </c>
      <c r="I16" s="59"/>
      <c r="J16" s="59"/>
      <c r="K16" s="59"/>
    </row>
    <row r="18" spans="1:24" s="38" customFormat="1">
      <c r="A18" s="67" t="s">
        <v>118</v>
      </c>
    </row>
    <row r="19" spans="1:24">
      <c r="A19" s="61"/>
    </row>
    <row r="20" spans="1:24">
      <c r="I20" s="54" t="s">
        <v>70</v>
      </c>
      <c r="V20" s="54" t="s">
        <v>165</v>
      </c>
    </row>
    <row r="21" spans="1:24">
      <c r="A21" t="s">
        <v>76</v>
      </c>
      <c r="D21" t="s">
        <v>0</v>
      </c>
      <c r="I21" s="62" t="e">
        <f t="array" ref="I21:K23">MMULT(I7:K9,MINVERSE(_xlfn.MUNIT(3)*O11:O13))</f>
        <v>#NUM!</v>
      </c>
      <c r="J21" s="62" t="e">
        <v>#NUM!</v>
      </c>
      <c r="K21" s="62" t="e">
        <v>#NUM!</v>
      </c>
      <c r="V21" s="62" t="e">
        <f t="array" ref="V21:X23">MMULT(TRANSPOSE(E11:G13),MINVERSE(_xlfn.MUNIT(3)*O11:O13))</f>
        <v>#NUM!</v>
      </c>
      <c r="W21" s="62" t="e">
        <v>#NUM!</v>
      </c>
      <c r="X21" s="62" t="e">
        <v>#NUM!</v>
      </c>
    </row>
    <row r="22" spans="1:24">
      <c r="A22" t="s">
        <v>77</v>
      </c>
      <c r="D22" t="s">
        <v>0</v>
      </c>
      <c r="I22" s="62" t="e">
        <v>#NUM!</v>
      </c>
      <c r="J22" s="62" t="e">
        <v>#NUM!</v>
      </c>
      <c r="K22" s="62" t="e">
        <v>#NUM!</v>
      </c>
      <c r="V22" s="62" t="e">
        <v>#NUM!</v>
      </c>
      <c r="W22" s="62" t="e">
        <v>#NUM!</v>
      </c>
      <c r="X22" s="62" t="e">
        <v>#NUM!</v>
      </c>
    </row>
    <row r="23" spans="1:24">
      <c r="A23" t="s">
        <v>68</v>
      </c>
      <c r="D23" t="s">
        <v>0</v>
      </c>
      <c r="I23" s="62" t="e">
        <v>#NUM!</v>
      </c>
      <c r="J23" s="62" t="e">
        <v>#NUM!</v>
      </c>
      <c r="K23" s="62" t="e">
        <v>#NUM!</v>
      </c>
      <c r="V23" s="62" t="e">
        <v>#NUM!</v>
      </c>
      <c r="W23" s="62" t="e">
        <v>#NUM!</v>
      </c>
      <c r="X23" s="62" t="e">
        <v>#NUM!</v>
      </c>
    </row>
    <row r="24" spans="1:24">
      <c r="E24" s="54" t="s">
        <v>162</v>
      </c>
      <c r="I24" s="75"/>
      <c r="J24" s="75"/>
      <c r="K24" s="75"/>
      <c r="R24" t="s">
        <v>115</v>
      </c>
      <c r="V24" s="75"/>
      <c r="W24" s="75"/>
      <c r="X24" s="75"/>
    </row>
    <row r="25" spans="1:24">
      <c r="B25" t="s">
        <v>78</v>
      </c>
      <c r="D25" t="s">
        <v>0</v>
      </c>
      <c r="E25" s="62" t="e">
        <f t="array" ref="E25:G27">MMULT(E11:G13,MINVERSE(_xlfn.MUNIT(3)*O7:O9))</f>
        <v>#NUM!</v>
      </c>
      <c r="F25" s="62" t="e">
        <v>#NUM!</v>
      </c>
      <c r="G25" s="62" t="e">
        <v>#NUM!</v>
      </c>
      <c r="R25" s="62" t="e">
        <f t="array" ref="R25:T27">MINVERSE(V21:X23)</f>
        <v>#NUM!</v>
      </c>
      <c r="S25" s="62" t="e">
        <v>#NUM!</v>
      </c>
      <c r="T25" s="62" t="e">
        <v>#NUM!</v>
      </c>
    </row>
    <row r="26" spans="1:24">
      <c r="B26" t="s">
        <v>79</v>
      </c>
      <c r="D26" t="s">
        <v>0</v>
      </c>
      <c r="E26" s="62" t="e">
        <v>#NUM!</v>
      </c>
      <c r="F26" s="62" t="e">
        <v>#NUM!</v>
      </c>
      <c r="G26" s="62" t="e">
        <v>#NUM!</v>
      </c>
      <c r="R26" s="62" t="e">
        <v>#NUM!</v>
      </c>
      <c r="S26" s="62" t="e">
        <v>#NUM!</v>
      </c>
      <c r="T26" s="62" t="e">
        <v>#NUM!</v>
      </c>
    </row>
    <row r="27" spans="1:24">
      <c r="B27" t="s">
        <v>104</v>
      </c>
      <c r="D27" t="s">
        <v>0</v>
      </c>
      <c r="E27" s="62" t="e">
        <v>#NUM!</v>
      </c>
      <c r="F27" s="62" t="e">
        <v>#NUM!</v>
      </c>
      <c r="G27" s="62" t="e">
        <v>#NUM!</v>
      </c>
      <c r="R27" s="62" t="e">
        <v>#NUM!</v>
      </c>
      <c r="S27" s="62" t="e">
        <v>#NUM!</v>
      </c>
      <c r="T27" s="62" t="e">
        <v>#NUM!</v>
      </c>
    </row>
    <row r="28" spans="1:24">
      <c r="I28" s="54" t="s">
        <v>166</v>
      </c>
    </row>
    <row r="29" spans="1:24">
      <c r="C29" t="s">
        <v>67</v>
      </c>
      <c r="D29" t="s">
        <v>80</v>
      </c>
      <c r="I29" s="62" t="e">
        <f t="array" ref="I29:K30">MMULT(I15:K16,MINVERSE(_xlfn.MUNIT(3)*O11:O13))</f>
        <v>#NUM!</v>
      </c>
      <c r="J29" s="62" t="e">
        <v>#NUM!</v>
      </c>
      <c r="K29" s="62" t="e">
        <v>#NUM!</v>
      </c>
    </row>
    <row r="30" spans="1:24">
      <c r="C30" t="s">
        <v>117</v>
      </c>
      <c r="D30" t="s">
        <v>0</v>
      </c>
      <c r="I30" s="62" t="e">
        <v>#NUM!</v>
      </c>
      <c r="J30" s="62" t="e">
        <v>#NUM!</v>
      </c>
      <c r="K30" s="62" t="e">
        <v>#NUM!</v>
      </c>
    </row>
    <row r="32" spans="1:24" s="38" customFormat="1">
      <c r="A32" s="67" t="s">
        <v>114</v>
      </c>
    </row>
    <row r="34" spans="1:9">
      <c r="E34" t="s">
        <v>111</v>
      </c>
    </row>
    <row r="35" spans="1:9">
      <c r="A35" t="s">
        <v>76</v>
      </c>
      <c r="D35" t="s">
        <v>0</v>
      </c>
      <c r="E35" s="72" t="e">
        <f t="array" ref="E35:G37">MINVERSE(_xlfn.MUNIT(3)-MMULT(I21:K23,E25:G27))</f>
        <v>#NUM!</v>
      </c>
      <c r="F35" s="72" t="e">
        <v>#NUM!</v>
      </c>
      <c r="G35" s="72" t="e">
        <v>#NUM!</v>
      </c>
      <c r="I35" t="s">
        <v>102</v>
      </c>
    </row>
    <row r="36" spans="1:9">
      <c r="A36" t="s">
        <v>77</v>
      </c>
      <c r="D36" t="s">
        <v>0</v>
      </c>
      <c r="E36" s="72" t="e">
        <v>#NUM!</v>
      </c>
      <c r="F36" s="72" t="e">
        <v>#NUM!</v>
      </c>
      <c r="G36" s="72" t="e">
        <v>#NUM!</v>
      </c>
    </row>
    <row r="37" spans="1:9">
      <c r="A37" t="s">
        <v>68</v>
      </c>
      <c r="D37" t="s">
        <v>0</v>
      </c>
      <c r="E37" s="72" t="e">
        <v>#NUM!</v>
      </c>
      <c r="F37" s="72" t="e">
        <v>#NUM!</v>
      </c>
      <c r="G37" s="72" t="e">
        <v>#NUM!</v>
      </c>
    </row>
    <row r="38" spans="1:9">
      <c r="E38" s="1" t="s">
        <v>167</v>
      </c>
    </row>
    <row r="39" spans="1:9">
      <c r="C39" t="s">
        <v>67</v>
      </c>
      <c r="D39" t="s">
        <v>80</v>
      </c>
      <c r="E39" s="39" t="e">
        <f t="array" ref="E39:G40">MMULT(I29:K30,MMULT(E25:G27,E35:G37))</f>
        <v>#NUM!</v>
      </c>
      <c r="F39" s="39" t="e">
        <v>#NUM!</v>
      </c>
      <c r="G39" s="39" t="e">
        <v>#NUM!</v>
      </c>
    </row>
    <row r="40" spans="1:9">
      <c r="C40" t="s">
        <v>117</v>
      </c>
      <c r="D40" t="s">
        <v>0</v>
      </c>
      <c r="E40" s="39" t="e">
        <v>#NUM!</v>
      </c>
      <c r="F40" s="39" t="e">
        <v>#NUM!</v>
      </c>
      <c r="G40" s="39" t="e">
        <v>#NUM!</v>
      </c>
    </row>
    <row r="42" spans="1:9">
      <c r="E42" t="s">
        <v>154</v>
      </c>
    </row>
    <row r="43" spans="1:9">
      <c r="B43" t="s">
        <v>78</v>
      </c>
      <c r="D43" t="s">
        <v>0</v>
      </c>
      <c r="E43" s="72" t="e">
        <f t="array" ref="E43:G45">MINVERSE(_xlfn.MUNIT(3)-MMULT(I21:K23,MINVERSE(V21:X23)))</f>
        <v>#NUM!</v>
      </c>
      <c r="F43" s="72" t="e">
        <v>#NUM!</v>
      </c>
      <c r="G43" s="72" t="e">
        <v>#NUM!</v>
      </c>
      <c r="I43" t="s">
        <v>103</v>
      </c>
    </row>
    <row r="44" spans="1:9">
      <c r="B44" t="s">
        <v>79</v>
      </c>
      <c r="D44" t="s">
        <v>0</v>
      </c>
      <c r="E44" s="72" t="e">
        <v>#NUM!</v>
      </c>
      <c r="F44" s="72" t="e">
        <v>#NUM!</v>
      </c>
      <c r="G44" s="72" t="e">
        <v>#NUM!</v>
      </c>
    </row>
    <row r="45" spans="1:9">
      <c r="B45" t="s">
        <v>104</v>
      </c>
      <c r="D45" t="s">
        <v>0</v>
      </c>
      <c r="E45" s="72" t="e">
        <v>#NUM!</v>
      </c>
      <c r="F45" s="72" t="e">
        <v>#NUM!</v>
      </c>
      <c r="G45" s="72" t="e">
        <v>#NUM!</v>
      </c>
    </row>
    <row r="46" spans="1:9">
      <c r="E46" s="1" t="s">
        <v>168</v>
      </c>
    </row>
    <row r="47" spans="1:9">
      <c r="C47" t="s">
        <v>67</v>
      </c>
      <c r="D47" t="s">
        <v>80</v>
      </c>
      <c r="E47" s="39" t="e">
        <f t="array" ref="E47:G48">MMULT(I29:K30,MMULT(MINVERSE(V21:X23),E43:G45))</f>
        <v>#NUM!</v>
      </c>
      <c r="F47" s="39" t="e">
        <v>#NUM!</v>
      </c>
      <c r="G47" s="39" t="e">
        <v>#NUM!</v>
      </c>
    </row>
    <row r="48" spans="1:9">
      <c r="C48" t="s">
        <v>117</v>
      </c>
      <c r="D48" t="s">
        <v>0</v>
      </c>
      <c r="E48" s="39" t="e">
        <v>#NUM!</v>
      </c>
      <c r="F48" s="39" t="e">
        <v>#NUM!</v>
      </c>
      <c r="G48" s="39" t="e">
        <v>#NUM!</v>
      </c>
    </row>
    <row r="50" spans="1:24" s="38" customFormat="1">
      <c r="A50" s="67" t="s">
        <v>116</v>
      </c>
    </row>
    <row r="52" spans="1:24">
      <c r="A52" s="1" t="s">
        <v>119</v>
      </c>
    </row>
    <row r="53" spans="1:24">
      <c r="I53" s="1" t="s">
        <v>15</v>
      </c>
      <c r="V53" s="1" t="s">
        <v>83</v>
      </c>
    </row>
    <row r="54" spans="1:24">
      <c r="A54" t="s">
        <v>76</v>
      </c>
      <c r="D54" t="s">
        <v>0</v>
      </c>
      <c r="I54" s="73" t="e">
        <f t="array" ref="I54:K56">I21:K23</f>
        <v>#NUM!</v>
      </c>
      <c r="J54" s="73" t="e">
        <v>#NUM!</v>
      </c>
      <c r="K54" s="73" t="e">
        <v>#NUM!</v>
      </c>
      <c r="V54" s="73" t="e">
        <f t="array" ref="V54:X56">V21:X23</f>
        <v>#NUM!</v>
      </c>
      <c r="W54" s="73" t="e">
        <v>#NUM!</v>
      </c>
      <c r="X54" s="73" t="e">
        <v>#NUM!</v>
      </c>
    </row>
    <row r="55" spans="1:24">
      <c r="A55" t="s">
        <v>77</v>
      </c>
      <c r="D55" t="s">
        <v>0</v>
      </c>
      <c r="I55" s="73" t="e">
        <v>#NUM!</v>
      </c>
      <c r="J55" s="73" t="e">
        <v>#NUM!</v>
      </c>
      <c r="K55" s="73" t="e">
        <v>#NUM!</v>
      </c>
      <c r="V55" s="73" t="e">
        <v>#NUM!</v>
      </c>
      <c r="W55" s="73" t="e">
        <v>#NUM!</v>
      </c>
      <c r="X55" s="73" t="e">
        <v>#NUM!</v>
      </c>
    </row>
    <row r="56" spans="1:24">
      <c r="A56" t="s">
        <v>68</v>
      </c>
      <c r="D56" t="s">
        <v>0</v>
      </c>
      <c r="I56" s="73" t="e">
        <v>#NUM!</v>
      </c>
      <c r="J56" s="73" t="e">
        <v>#NUM!</v>
      </c>
      <c r="K56" s="73" t="e">
        <v>#NUM!</v>
      </c>
      <c r="V56" s="73" t="e">
        <v>#NUM!</v>
      </c>
      <c r="W56" s="73" t="e">
        <v>#NUM!</v>
      </c>
      <c r="X56" s="73" t="e">
        <v>#NUM!</v>
      </c>
    </row>
    <row r="57" spans="1:24">
      <c r="E57" s="1" t="s">
        <v>16</v>
      </c>
      <c r="R57" s="1" t="s">
        <v>84</v>
      </c>
    </row>
    <row r="58" spans="1:24">
      <c r="B58" t="s">
        <v>78</v>
      </c>
      <c r="D58" t="s">
        <v>0</v>
      </c>
      <c r="E58" s="73" t="e">
        <f t="array" ref="E58:G60">E25:G27</f>
        <v>#NUM!</v>
      </c>
      <c r="F58" s="73" t="e">
        <v>#NUM!</v>
      </c>
      <c r="G58" s="73" t="e">
        <v>#NUM!</v>
      </c>
      <c r="R58" s="73" t="e">
        <f t="array" ref="R58:T60">MINVERSE(V54:X56)</f>
        <v>#NUM!</v>
      </c>
      <c r="S58" s="73" t="e">
        <v>#NUM!</v>
      </c>
      <c r="T58" s="73" t="e">
        <v>#NUM!</v>
      </c>
    </row>
    <row r="59" spans="1:24">
      <c r="B59" t="s">
        <v>79</v>
      </c>
      <c r="D59" t="s">
        <v>0</v>
      </c>
      <c r="E59" s="73" t="e">
        <v>#NUM!</v>
      </c>
      <c r="F59" s="73" t="e">
        <v>#NUM!</v>
      </c>
      <c r="G59" s="73" t="e">
        <v>#NUM!</v>
      </c>
      <c r="R59" s="73" t="e">
        <v>#NUM!</v>
      </c>
      <c r="S59" s="73" t="e">
        <v>#NUM!</v>
      </c>
      <c r="T59" s="73" t="e">
        <v>#NUM!</v>
      </c>
    </row>
    <row r="60" spans="1:24">
      <c r="B60" t="s">
        <v>104</v>
      </c>
      <c r="D60" t="s">
        <v>0</v>
      </c>
      <c r="E60" s="73" t="e">
        <v>#NUM!</v>
      </c>
      <c r="F60" s="73" t="e">
        <v>#NUM!</v>
      </c>
      <c r="G60" s="73" t="e">
        <v>#NUM!</v>
      </c>
      <c r="R60" s="73" t="e">
        <v>#NUM!</v>
      </c>
      <c r="S60" s="73" t="e">
        <v>#NUM!</v>
      </c>
      <c r="T60" s="73" t="e">
        <v>#NUM!</v>
      </c>
    </row>
    <row r="61" spans="1:24">
      <c r="I61" s="1" t="s">
        <v>169</v>
      </c>
    </row>
    <row r="62" spans="1:24">
      <c r="C62" t="s">
        <v>67</v>
      </c>
      <c r="D62" t="s">
        <v>80</v>
      </c>
      <c r="I62" s="73" t="e">
        <f t="array" ref="I62:K63">I29:K30</f>
        <v>#NUM!</v>
      </c>
      <c r="J62" s="73" t="e">
        <v>#NUM!</v>
      </c>
      <c r="K62" s="73" t="e">
        <v>#NUM!</v>
      </c>
    </row>
    <row r="63" spans="1:24">
      <c r="C63" t="s">
        <v>117</v>
      </c>
      <c r="D63" t="s">
        <v>0</v>
      </c>
      <c r="I63" s="73" t="e">
        <v>#NUM!</v>
      </c>
      <c r="J63" s="73" t="e">
        <v>#NUM!</v>
      </c>
      <c r="K63" s="73" t="e">
        <v>#NUM!</v>
      </c>
    </row>
    <row r="64" spans="1:24">
      <c r="P64" s="76"/>
    </row>
    <row r="65" spans="1:28">
      <c r="A65" s="1" t="s">
        <v>107</v>
      </c>
      <c r="P65" s="76"/>
    </row>
    <row r="66" spans="1:28">
      <c r="E66" t="s">
        <v>102</v>
      </c>
      <c r="P66" s="76"/>
      <c r="R66" t="s">
        <v>103</v>
      </c>
    </row>
    <row r="67" spans="1:28">
      <c r="F67" s="54"/>
      <c r="G67" s="54"/>
      <c r="H67" s="54"/>
      <c r="I67" s="65" t="s">
        <v>108</v>
      </c>
      <c r="M67" s="1" t="s">
        <v>21</v>
      </c>
      <c r="O67" s="66" t="s">
        <v>110</v>
      </c>
      <c r="P67" s="77"/>
      <c r="Q67" s="54"/>
      <c r="V67" s="65" t="s">
        <v>112</v>
      </c>
      <c r="AB67" s="66" t="s">
        <v>155</v>
      </c>
    </row>
    <row r="68" spans="1:28">
      <c r="A68" t="s">
        <v>76</v>
      </c>
      <c r="D68" t="s">
        <v>0</v>
      </c>
      <c r="E68" s="54"/>
      <c r="F68" s="54"/>
      <c r="G68" s="54"/>
      <c r="H68" s="54"/>
      <c r="I68" s="74" t="e">
        <f t="array" ref="I68:K70">MMULT(I54:K56,_xlfn.MUNIT(3)*O72:O74)</f>
        <v>#NUM!</v>
      </c>
      <c r="J68" s="74" t="e">
        <v>#NUM!</v>
      </c>
      <c r="K68" s="74" t="e">
        <v>#NUM!</v>
      </c>
      <c r="M68" s="78">
        <v>130</v>
      </c>
      <c r="O68" s="55" t="e">
        <f t="array" ref="O68:O70">MMULT(E35:G37,M68:M70)</f>
        <v>#NUM!</v>
      </c>
      <c r="P68" s="77"/>
      <c r="Q68" s="54"/>
      <c r="V68" s="74" t="e">
        <f t="array" ref="V68:X70">MMULT(I54:K56,_xlfn.MUNIT(3)*AB72:AB74)</f>
        <v>#NUM!</v>
      </c>
      <c r="W68" s="74" t="e">
        <v>#NUM!</v>
      </c>
      <c r="X68" s="74" t="e">
        <v>#NUM!</v>
      </c>
      <c r="AB68" s="55" t="e">
        <f t="array" ref="AB68:AB70">MMULT(E43:G45,M68:M70)</f>
        <v>#NUM!</v>
      </c>
    </row>
    <row r="69" spans="1:28">
      <c r="A69" t="s">
        <v>77</v>
      </c>
      <c r="D69" t="s">
        <v>0</v>
      </c>
      <c r="I69" s="74" t="e">
        <v>#NUM!</v>
      </c>
      <c r="J69" s="74" t="e">
        <v>#NUM!</v>
      </c>
      <c r="K69" s="74" t="e">
        <v>#NUM!</v>
      </c>
      <c r="M69" s="78">
        <v>0</v>
      </c>
      <c r="O69" s="55" t="e">
        <v>#NUM!</v>
      </c>
      <c r="P69" s="76"/>
      <c r="R69" s="1"/>
      <c r="V69" s="74" t="e">
        <v>#NUM!</v>
      </c>
      <c r="W69" s="74" t="e">
        <v>#NUM!</v>
      </c>
      <c r="X69" s="74" t="e">
        <v>#NUM!</v>
      </c>
      <c r="AB69" s="55" t="e">
        <v>#NUM!</v>
      </c>
    </row>
    <row r="70" spans="1:28">
      <c r="A70" t="s">
        <v>68</v>
      </c>
      <c r="D70" t="s">
        <v>0</v>
      </c>
      <c r="I70" s="74" t="e">
        <v>#NUM!</v>
      </c>
      <c r="J70" s="74" t="e">
        <v>#NUM!</v>
      </c>
      <c r="K70" s="74" t="e">
        <v>#NUM!</v>
      </c>
      <c r="M70" s="78">
        <v>80</v>
      </c>
      <c r="O70" s="55" t="e">
        <v>#NUM!</v>
      </c>
      <c r="P70" s="76"/>
      <c r="R70" s="1"/>
      <c r="V70" s="74" t="e">
        <v>#NUM!</v>
      </c>
      <c r="W70" s="74" t="e">
        <v>#NUM!</v>
      </c>
      <c r="X70" s="74" t="e">
        <v>#NUM!</v>
      </c>
      <c r="AB70" s="55" t="e">
        <v>#NUM!</v>
      </c>
    </row>
    <row r="71" spans="1:28">
      <c r="E71" t="s">
        <v>170</v>
      </c>
      <c r="O71" s="66" t="s">
        <v>109</v>
      </c>
      <c r="P71" s="76"/>
      <c r="R71" s="54" t="s">
        <v>172</v>
      </c>
      <c r="AB71" s="66" t="s">
        <v>113</v>
      </c>
    </row>
    <row r="72" spans="1:28">
      <c r="B72" t="s">
        <v>78</v>
      </c>
      <c r="D72" t="s">
        <v>0</v>
      </c>
      <c r="E72" s="74" t="e">
        <f t="array" ref="E72:G74">MMULT(E58:G60,_xlfn.MUNIT(3)*O68:O70)</f>
        <v>#NUM!</v>
      </c>
      <c r="F72" s="74" t="e">
        <v>#NUM!</v>
      </c>
      <c r="G72" s="74" t="e">
        <v>#NUM!</v>
      </c>
      <c r="O72" s="55" t="e">
        <f t="array" ref="O72:O74">MMULT(E58:G60,O68:O70)</f>
        <v>#NUM!</v>
      </c>
      <c r="P72" s="76"/>
      <c r="R72" s="74" t="e">
        <f t="array" ref="R72:T74">TRANSPOSE(MMULT(V54:X56,_xlfn.MUNIT(3)*AB72:AB74))</f>
        <v>#NUM!</v>
      </c>
      <c r="S72" s="74" t="e">
        <v>#NUM!</v>
      </c>
      <c r="T72" s="74" t="e">
        <v>#NUM!</v>
      </c>
      <c r="AB72" s="55" t="e">
        <f t="array" ref="AB72:AB74">MMULT(R58:T60,AB68:AB70)</f>
        <v>#NUM!</v>
      </c>
    </row>
    <row r="73" spans="1:28">
      <c r="B73" t="s">
        <v>79</v>
      </c>
      <c r="D73" t="s">
        <v>0</v>
      </c>
      <c r="E73" s="74" t="e">
        <v>#NUM!</v>
      </c>
      <c r="F73" s="74" t="e">
        <v>#NUM!</v>
      </c>
      <c r="G73" s="74" t="e">
        <v>#NUM!</v>
      </c>
      <c r="O73" s="55" t="e">
        <v>#NUM!</v>
      </c>
      <c r="P73" s="76"/>
      <c r="R73" s="74" t="e">
        <v>#NUM!</v>
      </c>
      <c r="S73" s="74" t="e">
        <v>#NUM!</v>
      </c>
      <c r="T73" s="74" t="e">
        <v>#NUM!</v>
      </c>
      <c r="AB73" s="55" t="e">
        <v>#NUM!</v>
      </c>
    </row>
    <row r="74" spans="1:28">
      <c r="B74" t="s">
        <v>104</v>
      </c>
      <c r="D74" t="s">
        <v>0</v>
      </c>
      <c r="E74" s="74" t="e">
        <v>#NUM!</v>
      </c>
      <c r="F74" s="74" t="e">
        <v>#NUM!</v>
      </c>
      <c r="G74" s="74" t="e">
        <v>#NUM!</v>
      </c>
      <c r="O74" s="55" t="e">
        <v>#NUM!</v>
      </c>
      <c r="P74" s="76"/>
      <c r="R74" s="74" t="e">
        <v>#NUM!</v>
      </c>
      <c r="S74" s="74" t="e">
        <v>#NUM!</v>
      </c>
      <c r="T74" s="74" t="e">
        <v>#NUM!</v>
      </c>
      <c r="AB74" s="55" t="e">
        <v>#NUM!</v>
      </c>
    </row>
    <row r="75" spans="1:28">
      <c r="I75" s="65" t="s">
        <v>171</v>
      </c>
      <c r="O75" s="3" t="s">
        <v>174</v>
      </c>
      <c r="P75" s="76"/>
      <c r="V75" s="65" t="s">
        <v>173</v>
      </c>
      <c r="AB75" s="79" t="s">
        <v>175</v>
      </c>
    </row>
    <row r="76" spans="1:28">
      <c r="C76" t="s">
        <v>67</v>
      </c>
      <c r="D76" t="s">
        <v>80</v>
      </c>
      <c r="I76" s="74" t="e">
        <f t="array" ref="I76:K77">MMULT(I62:K63,_xlfn.MUNIT(3)*O72:O74)</f>
        <v>#NUM!</v>
      </c>
      <c r="J76" s="74" t="e">
        <v>#NUM!</v>
      </c>
      <c r="K76" s="74" t="e">
        <v>#NUM!</v>
      </c>
      <c r="O76" s="74" t="e">
        <f>SUM(I76:K76)</f>
        <v>#NUM!</v>
      </c>
      <c r="P76" s="76"/>
      <c r="V76" s="74" t="e">
        <f t="array" ref="V76:X77">MMULT(I62:K63,_xlfn.MUNIT(3)*AB72:AB74)</f>
        <v>#NUM!</v>
      </c>
      <c r="W76" s="74" t="e">
        <v>#NUM!</v>
      </c>
      <c r="X76" s="74" t="e">
        <v>#NUM!</v>
      </c>
      <c r="AB76" s="74" t="e">
        <f>SUM(V76:X76)</f>
        <v>#NUM!</v>
      </c>
    </row>
    <row r="77" spans="1:28">
      <c r="C77" t="s">
        <v>105</v>
      </c>
      <c r="D77" t="s">
        <v>0</v>
      </c>
      <c r="I77" s="74" t="e">
        <v>#NUM!</v>
      </c>
      <c r="J77" s="74" t="e">
        <v>#NUM!</v>
      </c>
      <c r="K77" s="74" t="e">
        <v>#NUM!</v>
      </c>
      <c r="O77" s="84" t="e">
        <f>SUM(I77:K77)</f>
        <v>#NUM!</v>
      </c>
      <c r="P77" s="76"/>
      <c r="V77" s="62" t="e">
        <v>#NUM!</v>
      </c>
      <c r="W77" s="62" t="e">
        <v>#NUM!</v>
      </c>
      <c r="X77" s="74" t="e">
        <v>#NUM!</v>
      </c>
      <c r="AB77" s="62" t="e">
        <f>SUM(V77:X77)</f>
        <v>#NUM!</v>
      </c>
    </row>
    <row r="78" spans="1:28">
      <c r="O78" s="83" t="e">
        <f>IF(O77&lt;=0,"","↑")</f>
        <v>#NUM!</v>
      </c>
      <c r="P78" s="76"/>
      <c r="Z78" s="2"/>
    </row>
    <row r="79" spans="1:28">
      <c r="A79" s="1"/>
      <c r="K79" s="80"/>
      <c r="L79" s="80"/>
      <c r="N79" s="80"/>
      <c r="O79" s="82" t="e">
        <f>IF(O77&lt;=0,"","Consuming more scrap than what we produce")</f>
        <v>#NUM!</v>
      </c>
      <c r="P79" s="76"/>
      <c r="R79" s="80"/>
      <c r="S79" s="80"/>
      <c r="T79" s="80"/>
      <c r="U79" s="80"/>
      <c r="V79" s="80"/>
      <c r="Z79" s="81"/>
    </row>
    <row r="80" spans="1:28">
      <c r="K80" s="80"/>
      <c r="L80" s="80"/>
      <c r="M80" s="80"/>
      <c r="N80" s="80"/>
      <c r="O80" s="80"/>
      <c r="P80" s="76"/>
      <c r="R80" s="80"/>
      <c r="S80" s="80"/>
      <c r="T80" s="80"/>
      <c r="U80" s="80"/>
      <c r="V80" s="80"/>
    </row>
  </sheetData>
  <conditionalFormatting sqref="O77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F7F5-8615-D943-8EBC-7B3D841DE8D1}">
  <dimension ref="A1:AD74"/>
  <sheetViews>
    <sheetView showGridLines="0" zoomScale="125" workbookViewId="0">
      <pane xSplit="5" ySplit="5" topLeftCell="F51" activePane="bottomRight" state="frozen"/>
      <selection activeCell="Z63" sqref="Z63"/>
      <selection pane="topRight" activeCell="Z63" sqref="Z63"/>
      <selection pane="bottomLeft" activeCell="Z63" sqref="Z63"/>
      <selection pane="bottomRight" activeCell="Z63" sqref="Z63"/>
    </sheetView>
  </sheetViews>
  <sheetFormatPr defaultColWidth="11.5546875" defaultRowHeight="14.4"/>
  <cols>
    <col min="1" max="1" width="6.6640625" bestFit="1" customWidth="1"/>
    <col min="2" max="2" width="11.44140625" bestFit="1" customWidth="1"/>
    <col min="3" max="3" width="10" customWidth="1"/>
    <col min="4" max="4" width="15" customWidth="1"/>
    <col min="5" max="5" width="7.33203125" customWidth="1"/>
    <col min="6" max="13" width="6.6640625" customWidth="1"/>
    <col min="14" max="14" width="5.44140625" customWidth="1"/>
    <col min="15" max="23" width="6.6640625" customWidth="1"/>
    <col min="24" max="25" width="7.6640625" customWidth="1"/>
    <col min="26" max="26" width="8.33203125" customWidth="1"/>
    <col min="27" max="27" width="7.33203125" customWidth="1"/>
  </cols>
  <sheetData>
    <row r="1" spans="1:30">
      <c r="A1" s="6" t="s">
        <v>3</v>
      </c>
      <c r="B1" s="6"/>
      <c r="C1" s="6"/>
      <c r="D1" s="6"/>
      <c r="E1" s="6"/>
      <c r="F1" t="s">
        <v>4</v>
      </c>
      <c r="J1" t="s">
        <v>8</v>
      </c>
      <c r="O1" t="s">
        <v>4</v>
      </c>
      <c r="T1" t="s">
        <v>8</v>
      </c>
      <c r="Y1" t="s">
        <v>4</v>
      </c>
      <c r="Z1" t="s">
        <v>8</v>
      </c>
      <c r="AB1" t="s">
        <v>51</v>
      </c>
    </row>
    <row r="2" spans="1:30" ht="33" customHeight="1">
      <c r="A2" s="6"/>
      <c r="B2" s="6" t="s">
        <v>32</v>
      </c>
      <c r="C2" s="6"/>
      <c r="D2" s="6"/>
      <c r="E2" s="6"/>
      <c r="F2" s="5" t="s">
        <v>5</v>
      </c>
      <c r="G2" s="5" t="s">
        <v>6</v>
      </c>
      <c r="H2" s="5" t="s">
        <v>7</v>
      </c>
      <c r="I2" s="5" t="s">
        <v>2</v>
      </c>
      <c r="J2" s="5" t="s">
        <v>5</v>
      </c>
      <c r="K2" s="5" t="s">
        <v>6</v>
      </c>
      <c r="L2" s="5" t="s">
        <v>7</v>
      </c>
      <c r="M2" s="5" t="s">
        <v>2</v>
      </c>
      <c r="N2" s="5"/>
    </row>
    <row r="3" spans="1:30" ht="66.599999999999994">
      <c r="A3" s="6"/>
      <c r="B3" s="6"/>
      <c r="C3" s="6" t="s">
        <v>33</v>
      </c>
      <c r="D3" s="6"/>
      <c r="E3" s="6"/>
      <c r="O3" s="5" t="s">
        <v>6</v>
      </c>
      <c r="P3" s="5" t="s">
        <v>10</v>
      </c>
      <c r="Q3" s="5" t="s">
        <v>24</v>
      </c>
      <c r="R3" s="5" t="s">
        <v>26</v>
      </c>
      <c r="S3" s="5" t="s">
        <v>2</v>
      </c>
      <c r="T3" s="5" t="s">
        <v>6</v>
      </c>
      <c r="U3" s="5" t="s">
        <v>10</v>
      </c>
      <c r="V3" s="5" t="s">
        <v>25</v>
      </c>
      <c r="W3" s="5" t="s">
        <v>2</v>
      </c>
      <c r="Y3" s="5" t="s">
        <v>22</v>
      </c>
      <c r="Z3" s="5" t="s">
        <v>22</v>
      </c>
      <c r="AA3" s="5"/>
      <c r="AB3" s="5" t="s">
        <v>22</v>
      </c>
    </row>
    <row r="4" spans="1:30">
      <c r="A4" s="6"/>
      <c r="B4" s="6"/>
      <c r="C4" s="6"/>
      <c r="D4" s="7" t="s">
        <v>53</v>
      </c>
      <c r="E4" s="6"/>
    </row>
    <row r="5" spans="1:30">
      <c r="A5" s="6"/>
      <c r="B5" s="6"/>
      <c r="C5" s="6"/>
      <c r="D5" s="6"/>
      <c r="E5" s="6" t="s">
        <v>9</v>
      </c>
      <c r="F5" t="s">
        <v>13</v>
      </c>
      <c r="G5" t="s">
        <v>14</v>
      </c>
      <c r="H5" t="s">
        <v>13</v>
      </c>
      <c r="I5" t="s">
        <v>12</v>
      </c>
      <c r="J5" t="s">
        <v>13</v>
      </c>
      <c r="K5" t="s">
        <v>14</v>
      </c>
      <c r="L5" t="s">
        <v>13</v>
      </c>
      <c r="M5" t="s">
        <v>12</v>
      </c>
      <c r="O5" s="2" t="s">
        <v>11</v>
      </c>
      <c r="P5" s="2" t="s">
        <v>11</v>
      </c>
      <c r="Q5" s="2" t="s">
        <v>11</v>
      </c>
      <c r="R5" s="2" t="s">
        <v>11</v>
      </c>
      <c r="S5" s="2" t="s">
        <v>11</v>
      </c>
      <c r="T5" s="2" t="s">
        <v>11</v>
      </c>
      <c r="U5" s="2" t="s">
        <v>11</v>
      </c>
      <c r="V5" s="2" t="s">
        <v>11</v>
      </c>
      <c r="W5" s="2" t="s">
        <v>11</v>
      </c>
    </row>
    <row r="6" spans="1:30">
      <c r="A6" s="36" t="s">
        <v>45</v>
      </c>
      <c r="B6" s="6"/>
      <c r="C6" s="6"/>
      <c r="D6" s="6"/>
      <c r="E6" s="6"/>
      <c r="O6" s="2"/>
      <c r="P6" s="2"/>
      <c r="Q6" s="2"/>
      <c r="R6" s="2"/>
      <c r="S6" s="2"/>
      <c r="T6" s="2"/>
      <c r="U6" s="2"/>
      <c r="V6" s="2"/>
    </row>
    <row r="7" spans="1:30">
      <c r="Y7" s="1" t="s">
        <v>21</v>
      </c>
      <c r="AB7" s="1" t="s">
        <v>28</v>
      </c>
    </row>
    <row r="8" spans="1:30">
      <c r="A8" t="s">
        <v>4</v>
      </c>
      <c r="B8" t="s">
        <v>5</v>
      </c>
      <c r="E8" t="s">
        <v>13</v>
      </c>
      <c r="N8" s="3" t="s">
        <v>15</v>
      </c>
      <c r="O8" s="24">
        <v>3.5125779492936287E-3</v>
      </c>
      <c r="P8" s="24">
        <v>0.27055147676963526</v>
      </c>
      <c r="Q8" s="24">
        <v>0.15827162508874215</v>
      </c>
      <c r="R8" s="30">
        <v>0.12</v>
      </c>
      <c r="S8" s="25">
        <v>4.1115841657158798E-5</v>
      </c>
      <c r="T8" s="24">
        <v>8.1908449500277985E-5</v>
      </c>
      <c r="U8" s="24">
        <v>3.3905805890108824E-3</v>
      </c>
      <c r="V8" s="24">
        <v>3.9752338900787623E-3</v>
      </c>
      <c r="W8" s="24">
        <v>3.2484095634919501E-7</v>
      </c>
      <c r="Y8" s="11">
        <v>835.54777745223998</v>
      </c>
      <c r="Z8" s="9">
        <v>145.60866670548177</v>
      </c>
      <c r="AA8" s="15"/>
      <c r="AB8" s="16">
        <f t="shared" ref="AB8:AB15" si="0">SUM(Y8:Z8)</f>
        <v>981.15644415772181</v>
      </c>
    </row>
    <row r="9" spans="1:30">
      <c r="B9" t="s">
        <v>6</v>
      </c>
      <c r="E9" t="s">
        <v>14</v>
      </c>
      <c r="O9" s="24">
        <v>4.5711092023886639E-6</v>
      </c>
      <c r="P9" s="24">
        <v>2.1778395399500096E-4</v>
      </c>
      <c r="Q9" s="24">
        <v>1.4460696673718849E-4</v>
      </c>
      <c r="R9" s="30">
        <v>1.4460696673718849E-4</v>
      </c>
      <c r="S9" s="25">
        <v>5.2547112481212482E-9</v>
      </c>
      <c r="T9" s="24">
        <v>1.4657736982926854E-7</v>
      </c>
      <c r="U9" s="24">
        <v>2.9643635201485096E-6</v>
      </c>
      <c r="V9" s="24">
        <v>2.0349831834856871E-6</v>
      </c>
      <c r="W9" s="24">
        <v>5.9382573677841501E-11</v>
      </c>
      <c r="Y9" s="11">
        <v>8.1689306237507644</v>
      </c>
      <c r="Z9" s="9">
        <v>0.47106017948831502</v>
      </c>
      <c r="AA9" s="15"/>
      <c r="AB9" s="16">
        <f t="shared" si="0"/>
        <v>8.6399908032390798</v>
      </c>
      <c r="AD9" s="8"/>
    </row>
    <row r="10" spans="1:30">
      <c r="B10" t="s">
        <v>7</v>
      </c>
      <c r="E10" t="s">
        <v>13</v>
      </c>
      <c r="O10" s="24">
        <v>1.1217512347926108E-5</v>
      </c>
      <c r="P10" s="24">
        <v>2.2327815820284484E-2</v>
      </c>
      <c r="Q10" s="24">
        <v>9.7684465828781222E-2</v>
      </c>
      <c r="R10" s="30">
        <v>9.7684465828781222E-2</v>
      </c>
      <c r="S10" s="25">
        <v>0</v>
      </c>
      <c r="T10" s="24">
        <v>3.0386983064855949E-6</v>
      </c>
      <c r="U10" s="24">
        <v>6.1167070108518364E-4</v>
      </c>
      <c r="V10" s="24">
        <v>3.3408951941073105E-3</v>
      </c>
      <c r="W10" s="24">
        <v>0</v>
      </c>
      <c r="Y10" s="11">
        <v>1.981798904333812</v>
      </c>
      <c r="Z10" s="9">
        <v>0.77720379530472494</v>
      </c>
      <c r="AA10" s="15"/>
      <c r="AB10" s="16">
        <f t="shared" si="0"/>
        <v>2.7590026996385371</v>
      </c>
    </row>
    <row r="11" spans="1:30">
      <c r="B11" t="s">
        <v>2</v>
      </c>
      <c r="E11" t="s">
        <v>12</v>
      </c>
      <c r="O11" s="26">
        <v>3.0778015177769711</v>
      </c>
      <c r="P11" s="26">
        <v>483.15055506033173</v>
      </c>
      <c r="Q11" s="26">
        <v>234.22695024215588</v>
      </c>
      <c r="R11" s="31">
        <v>300</v>
      </c>
      <c r="S11" s="27">
        <v>3.8828749371217115E-2</v>
      </c>
      <c r="T11" s="26">
        <v>2.6646337381623513E-2</v>
      </c>
      <c r="U11" s="26">
        <v>2.0564663648075712</v>
      </c>
      <c r="V11" s="26">
        <v>3.0057870070316599</v>
      </c>
      <c r="W11" s="26">
        <v>1.014030941430635E-6</v>
      </c>
      <c r="Y11" s="14">
        <v>3454409.2918194081</v>
      </c>
      <c r="Z11" s="13">
        <v>83583.261411934014</v>
      </c>
      <c r="AA11" s="15"/>
      <c r="AB11" s="17">
        <f t="shared" si="0"/>
        <v>3537992.5532313422</v>
      </c>
    </row>
    <row r="12" spans="1:30">
      <c r="A12" t="s">
        <v>8</v>
      </c>
      <c r="B12" t="s">
        <v>5</v>
      </c>
      <c r="E12" t="s">
        <v>13</v>
      </c>
      <c r="O12" s="24">
        <v>3.9488973072122864E-4</v>
      </c>
      <c r="P12" s="24">
        <v>0.13987704970409229</v>
      </c>
      <c r="Q12" s="24">
        <v>0.51737763554589511</v>
      </c>
      <c r="R12" s="30">
        <v>0.4</v>
      </c>
      <c r="S12" s="25">
        <v>1.2466997366732116E-5</v>
      </c>
      <c r="T12" s="24">
        <v>1.2049567506561484E-2</v>
      </c>
      <c r="U12" s="24">
        <v>0.32560213310586744</v>
      </c>
      <c r="V12" s="24">
        <v>0.549940514603386</v>
      </c>
      <c r="W12" s="24">
        <v>6.981505861539915E-5</v>
      </c>
      <c r="Y12" s="11">
        <v>585.7878886264366</v>
      </c>
      <c r="Z12" s="9">
        <v>7478.1972541558725</v>
      </c>
      <c r="AA12" s="15"/>
      <c r="AB12" s="16">
        <f t="shared" si="0"/>
        <v>8063.9851427823087</v>
      </c>
    </row>
    <row r="13" spans="1:30">
      <c r="B13" t="s">
        <v>6</v>
      </c>
      <c r="E13" t="s">
        <v>14</v>
      </c>
      <c r="F13" s="8"/>
      <c r="O13" s="24">
        <v>3.1023561720495332E-7</v>
      </c>
      <c r="P13" s="24">
        <v>1.7648369730282666E-5</v>
      </c>
      <c r="Q13" s="24">
        <v>9.8309998879296497E-6</v>
      </c>
      <c r="R13" s="30">
        <v>9.8309998879296497E-6</v>
      </c>
      <c r="S13" s="25">
        <v>4.1399413888669278E-10</v>
      </c>
      <c r="T13" s="24">
        <v>5.8021191434317627E-6</v>
      </c>
      <c r="U13" s="24">
        <v>8.7224283068274662E-5</v>
      </c>
      <c r="V13" s="24">
        <v>6.5546676671697596E-5</v>
      </c>
      <c r="W13" s="24">
        <v>1.8183213575593468E-9</v>
      </c>
      <c r="Y13" s="11">
        <v>0.317073594229689</v>
      </c>
      <c r="Z13" s="9">
        <v>30.342104790585111</v>
      </c>
      <c r="AA13" s="15"/>
      <c r="AB13" s="16">
        <f t="shared" si="0"/>
        <v>30.659178384814801</v>
      </c>
    </row>
    <row r="14" spans="1:30">
      <c r="B14" t="s">
        <v>7</v>
      </c>
      <c r="E14" t="s">
        <v>13</v>
      </c>
      <c r="O14" s="24">
        <v>6.0084533875747827E-6</v>
      </c>
      <c r="P14" s="24">
        <v>7.9615616779039923E-3</v>
      </c>
      <c r="Q14" s="24">
        <v>1.7867083538980769E-2</v>
      </c>
      <c r="R14" s="30">
        <v>1.7867083538980769E-2</v>
      </c>
      <c r="S14" s="25">
        <v>0</v>
      </c>
      <c r="T14" s="24">
        <v>7.9322197621690507E-5</v>
      </c>
      <c r="U14" s="24">
        <v>1.8865912376892675E-2</v>
      </c>
      <c r="V14" s="24">
        <v>0.24692995099546847</v>
      </c>
      <c r="W14" s="24">
        <v>0</v>
      </c>
      <c r="Y14" s="11">
        <v>0.60543500175889631</v>
      </c>
      <c r="Z14" s="9">
        <v>38.459046745641096</v>
      </c>
      <c r="AA14" s="15"/>
      <c r="AB14" s="16">
        <f t="shared" si="0"/>
        <v>39.064481747399995</v>
      </c>
    </row>
    <row r="15" spans="1:30">
      <c r="B15" t="s">
        <v>2</v>
      </c>
      <c r="E15" t="s">
        <v>12</v>
      </c>
      <c r="O15" s="24">
        <v>5.230796074256689E-2</v>
      </c>
      <c r="P15" s="24">
        <v>10.312563277757455</v>
      </c>
      <c r="Q15" s="24">
        <v>3.1295127164837244</v>
      </c>
      <c r="R15" s="30">
        <v>5</v>
      </c>
      <c r="S15" s="25">
        <v>7.1287164987785846E-6</v>
      </c>
      <c r="T15" s="24">
        <v>6.0507066940309961</v>
      </c>
      <c r="U15" s="24">
        <v>455.66801695364074</v>
      </c>
      <c r="V15" s="24">
        <v>327.02020105141429</v>
      </c>
      <c r="W15" s="24">
        <v>4.8434762681373707E-2</v>
      </c>
      <c r="Y15" s="11">
        <v>50504.880188880001</v>
      </c>
      <c r="Z15" s="9">
        <v>20969440.147819322</v>
      </c>
      <c r="AA15" s="15"/>
      <c r="AB15" s="16">
        <f t="shared" si="0"/>
        <v>21019945.0280082</v>
      </c>
    </row>
    <row r="16" spans="1:30">
      <c r="F16" s="1" t="s">
        <v>16</v>
      </c>
      <c r="O16" s="15"/>
      <c r="P16" s="15"/>
      <c r="Q16" s="15"/>
      <c r="R16" s="15"/>
      <c r="S16" s="15"/>
      <c r="T16" s="15"/>
      <c r="U16" s="15"/>
      <c r="V16" s="15"/>
      <c r="W16" s="15"/>
      <c r="Y16" s="15"/>
      <c r="Z16" s="15"/>
      <c r="AA16" s="15"/>
    </row>
    <row r="17" spans="1:29">
      <c r="A17" t="s">
        <v>4</v>
      </c>
      <c r="C17" t="s">
        <v>6</v>
      </c>
      <c r="E17" s="4" t="s">
        <v>11</v>
      </c>
      <c r="F17" s="24">
        <v>0.18943246131958499</v>
      </c>
      <c r="G17" s="24">
        <v>0.93981212419226612</v>
      </c>
      <c r="H17" s="24">
        <v>0</v>
      </c>
      <c r="I17" s="25">
        <v>9.1786104551479536E-2</v>
      </c>
      <c r="J17" s="24">
        <v>0</v>
      </c>
      <c r="K17" s="24">
        <v>0</v>
      </c>
      <c r="L17" s="24">
        <v>0</v>
      </c>
      <c r="M17" s="24">
        <v>0</v>
      </c>
      <c r="O17" s="15"/>
      <c r="P17" s="15"/>
      <c r="Q17" s="15"/>
      <c r="R17" s="15"/>
      <c r="S17" s="15"/>
      <c r="T17" s="15"/>
      <c r="U17" s="15"/>
      <c r="V17" s="15"/>
      <c r="W17" s="15"/>
    </row>
    <row r="18" spans="1:29">
      <c r="C18" t="s">
        <v>10</v>
      </c>
      <c r="E18" s="4" t="s">
        <v>11</v>
      </c>
      <c r="F18" s="24">
        <v>0.81056753868041498</v>
      </c>
      <c r="G18" s="24">
        <v>6.0187875807733854E-2</v>
      </c>
      <c r="H18" s="24">
        <v>0</v>
      </c>
      <c r="I18" s="25">
        <v>0</v>
      </c>
      <c r="J18" s="24">
        <v>0</v>
      </c>
      <c r="K18" s="24">
        <v>0</v>
      </c>
      <c r="L18" s="24">
        <v>0</v>
      </c>
      <c r="M18" s="24">
        <v>0</v>
      </c>
      <c r="O18" s="15"/>
      <c r="P18" s="15"/>
      <c r="Q18" s="15"/>
      <c r="R18" s="15"/>
      <c r="S18" s="15"/>
      <c r="T18" s="15"/>
      <c r="U18" s="15"/>
      <c r="V18" s="15"/>
      <c r="W18" s="15"/>
    </row>
    <row r="19" spans="1:29">
      <c r="C19" t="s">
        <v>24</v>
      </c>
      <c r="E19" s="4" t="s">
        <v>11</v>
      </c>
      <c r="F19" s="24">
        <v>0</v>
      </c>
      <c r="G19" s="24">
        <v>0</v>
      </c>
      <c r="H19" s="30">
        <v>1</v>
      </c>
      <c r="I19" s="25">
        <v>0</v>
      </c>
      <c r="J19" s="24">
        <v>0</v>
      </c>
      <c r="K19" s="24">
        <v>0</v>
      </c>
      <c r="L19" s="24">
        <v>0</v>
      </c>
      <c r="M19" s="24">
        <v>0</v>
      </c>
      <c r="O19" s="15"/>
      <c r="P19" s="15"/>
      <c r="Q19" s="15"/>
      <c r="R19" s="15"/>
      <c r="S19" s="15"/>
      <c r="T19" s="15"/>
      <c r="U19" s="15"/>
      <c r="V19" s="15"/>
      <c r="W19" s="15"/>
    </row>
    <row r="20" spans="1:29">
      <c r="C20" t="s">
        <v>26</v>
      </c>
      <c r="E20" s="4" t="s">
        <v>11</v>
      </c>
      <c r="F20" s="30">
        <v>0</v>
      </c>
      <c r="G20" s="30">
        <v>0</v>
      </c>
      <c r="H20" s="30">
        <v>0</v>
      </c>
      <c r="I20" s="33">
        <v>0</v>
      </c>
      <c r="J20" s="30">
        <v>0</v>
      </c>
      <c r="K20" s="30">
        <v>0</v>
      </c>
      <c r="L20" s="30">
        <v>0</v>
      </c>
      <c r="M20" s="30">
        <v>0</v>
      </c>
      <c r="O20" s="15"/>
      <c r="P20" s="15"/>
      <c r="Q20" s="15"/>
      <c r="R20" s="15"/>
      <c r="S20" s="15"/>
      <c r="T20" s="15"/>
      <c r="U20" s="15"/>
      <c r="V20" s="15"/>
      <c r="W20" s="15"/>
    </row>
    <row r="21" spans="1:29">
      <c r="C21" t="s">
        <v>2</v>
      </c>
      <c r="E21" s="4" t="s">
        <v>11</v>
      </c>
      <c r="F21" s="26">
        <v>0</v>
      </c>
      <c r="G21" s="26">
        <v>0</v>
      </c>
      <c r="H21" s="26">
        <v>0</v>
      </c>
      <c r="I21" s="27">
        <v>0.90821389544852049</v>
      </c>
      <c r="J21" s="26">
        <v>0</v>
      </c>
      <c r="K21" s="26">
        <v>0</v>
      </c>
      <c r="L21" s="26">
        <v>0</v>
      </c>
      <c r="M21" s="26">
        <v>0</v>
      </c>
      <c r="O21" s="15"/>
      <c r="P21" s="15"/>
      <c r="Q21" s="15"/>
      <c r="R21" s="15"/>
      <c r="S21" s="15"/>
      <c r="T21" s="15"/>
      <c r="U21" s="15"/>
      <c r="V21" s="15"/>
      <c r="W21" s="15"/>
    </row>
    <row r="22" spans="1:29">
      <c r="A22" t="s">
        <v>8</v>
      </c>
      <c r="C22" t="s">
        <v>6</v>
      </c>
      <c r="E22" s="4" t="s">
        <v>11</v>
      </c>
      <c r="F22" s="24">
        <v>0</v>
      </c>
      <c r="G22" s="24">
        <v>0</v>
      </c>
      <c r="H22" s="24">
        <v>0</v>
      </c>
      <c r="I22" s="25">
        <v>0</v>
      </c>
      <c r="J22" s="24">
        <v>0.15854982659498015</v>
      </c>
      <c r="K22" s="24">
        <v>0.94030067349529989</v>
      </c>
      <c r="L22" s="24">
        <v>0</v>
      </c>
      <c r="M22" s="24">
        <v>3.472103824395692E-2</v>
      </c>
      <c r="O22" s="15"/>
      <c r="P22" s="15"/>
      <c r="Q22" s="15"/>
      <c r="R22" s="15"/>
      <c r="S22" s="15"/>
      <c r="T22" s="15"/>
      <c r="U22" s="15"/>
      <c r="V22" s="15"/>
      <c r="W22" s="15"/>
    </row>
    <row r="23" spans="1:29">
      <c r="C23" t="s">
        <v>10</v>
      </c>
      <c r="E23" s="4" t="s">
        <v>11</v>
      </c>
      <c r="F23" s="24">
        <v>0</v>
      </c>
      <c r="G23" s="24">
        <v>0</v>
      </c>
      <c r="H23" s="24">
        <v>0</v>
      </c>
      <c r="I23" s="25">
        <v>0</v>
      </c>
      <c r="J23" s="24">
        <v>0.81519142001552447</v>
      </c>
      <c r="K23" s="24">
        <v>5.9699326504700174E-2</v>
      </c>
      <c r="L23" s="24">
        <v>0</v>
      </c>
      <c r="M23" s="24">
        <v>0</v>
      </c>
      <c r="O23" s="15"/>
      <c r="P23" s="15"/>
      <c r="Q23" s="15"/>
      <c r="R23" s="15"/>
      <c r="S23" s="15"/>
      <c r="T23" s="15"/>
      <c r="U23" s="15"/>
      <c r="V23" s="15"/>
      <c r="W23" s="15"/>
    </row>
    <row r="24" spans="1:29">
      <c r="C24" t="s">
        <v>25</v>
      </c>
      <c r="E24" s="4" t="s">
        <v>11</v>
      </c>
      <c r="F24" s="24">
        <v>0</v>
      </c>
      <c r="G24" s="24">
        <v>0</v>
      </c>
      <c r="H24" s="24">
        <v>0</v>
      </c>
      <c r="I24" s="25">
        <v>0</v>
      </c>
      <c r="J24" s="24">
        <v>2.6092893080269894E-2</v>
      </c>
      <c r="K24" s="24">
        <v>0</v>
      </c>
      <c r="L24" s="24">
        <v>1</v>
      </c>
      <c r="M24" s="24">
        <v>0</v>
      </c>
      <c r="O24" s="15"/>
      <c r="P24" s="15"/>
      <c r="Q24" s="15"/>
      <c r="R24" s="15"/>
      <c r="S24" s="15"/>
      <c r="T24" s="15"/>
      <c r="U24" s="15"/>
      <c r="V24" s="15"/>
      <c r="W24" s="15"/>
    </row>
    <row r="25" spans="1:29">
      <c r="C25" t="s">
        <v>2</v>
      </c>
      <c r="E25" s="4" t="s">
        <v>11</v>
      </c>
      <c r="F25" s="24">
        <v>0</v>
      </c>
      <c r="G25" s="24">
        <v>0</v>
      </c>
      <c r="H25" s="24">
        <v>0</v>
      </c>
      <c r="I25" s="25">
        <v>0</v>
      </c>
      <c r="J25" s="24">
        <v>1.6586030922548941E-4</v>
      </c>
      <c r="K25" s="24">
        <v>0</v>
      </c>
      <c r="L25" s="24">
        <v>0</v>
      </c>
      <c r="M25" s="24">
        <v>0.96527896175604311</v>
      </c>
      <c r="O25" s="15"/>
      <c r="P25" s="15"/>
      <c r="Q25" s="15"/>
      <c r="R25" s="15"/>
      <c r="S25" s="15"/>
      <c r="T25" s="15"/>
      <c r="U25" s="15"/>
      <c r="V25" s="15"/>
      <c r="W25" s="15"/>
    </row>
    <row r="26" spans="1:29">
      <c r="E26" s="4"/>
      <c r="F26" s="41"/>
      <c r="G26" s="41"/>
      <c r="H26" s="41"/>
      <c r="I26" s="41"/>
      <c r="J26" s="41"/>
      <c r="K26" s="41"/>
      <c r="L26" s="41"/>
      <c r="M26" s="41"/>
      <c r="O26" s="15"/>
      <c r="P26" s="15"/>
      <c r="Q26" s="15"/>
      <c r="R26" s="15"/>
      <c r="S26" s="15"/>
      <c r="T26" s="15"/>
      <c r="U26" s="15"/>
      <c r="V26" s="15"/>
      <c r="W26" s="15"/>
    </row>
    <row r="27" spans="1:29">
      <c r="D27" t="s">
        <v>19</v>
      </c>
      <c r="E27" s="4" t="s">
        <v>14</v>
      </c>
      <c r="F27" s="41"/>
      <c r="G27" s="41"/>
      <c r="H27" s="41"/>
      <c r="I27" s="41"/>
      <c r="J27" s="41"/>
      <c r="K27" s="41"/>
      <c r="L27" s="41"/>
      <c r="M27" s="41"/>
      <c r="N27" s="3" t="s">
        <v>18</v>
      </c>
      <c r="O27" s="28">
        <v>9.3327695761945131E-6</v>
      </c>
      <c r="P27" s="28">
        <v>3.3615484145128579E-4</v>
      </c>
      <c r="Q27" s="28">
        <v>1.3445362184646243E-4</v>
      </c>
      <c r="R27" s="32">
        <f>Q27*1.5</f>
        <v>2.0168043276969365E-4</v>
      </c>
      <c r="S27" s="29">
        <v>8.6675066079306092E-9</v>
      </c>
      <c r="T27" s="28">
        <v>1.2344967084705986E-5</v>
      </c>
      <c r="U27" s="28">
        <v>1.7106332166412003E-4</v>
      </c>
      <c r="V27" s="28">
        <v>1.0443155448320794E-4</v>
      </c>
      <c r="W27" s="28">
        <v>6.0114500745619698E-9</v>
      </c>
      <c r="Y27" s="1" t="s">
        <v>23</v>
      </c>
    </row>
    <row r="28" spans="1:29">
      <c r="D28" t="s">
        <v>20</v>
      </c>
      <c r="E28" s="4" t="s">
        <v>13</v>
      </c>
      <c r="N28" s="3"/>
      <c r="O28" s="28">
        <v>1.0966822285952847E-3</v>
      </c>
      <c r="P28" s="28">
        <v>0.16146899044461541</v>
      </c>
      <c r="Q28" s="28">
        <v>0.75858536787205477</v>
      </c>
      <c r="R28" s="32">
        <v>0.3</v>
      </c>
      <c r="S28" s="29">
        <v>7.460180323602862E-5</v>
      </c>
      <c r="T28" s="28">
        <v>2.7176049594627937E-3</v>
      </c>
      <c r="U28" s="28">
        <v>0.24096642889606007</v>
      </c>
      <c r="V28" s="28">
        <v>0.67546413592501253</v>
      </c>
      <c r="W28" s="28">
        <v>1.3706389434075023E-4</v>
      </c>
      <c r="Y28" s="12">
        <v>796.06386428400185</v>
      </c>
      <c r="Z28" s="10">
        <v>3424.6898600358227</v>
      </c>
      <c r="AA28" s="53"/>
    </row>
    <row r="30" spans="1:29">
      <c r="F30" t="s">
        <v>38</v>
      </c>
      <c r="O30" s="1" t="s">
        <v>27</v>
      </c>
      <c r="AB30" s="1" t="s">
        <v>29</v>
      </c>
    </row>
    <row r="31" spans="1:29">
      <c r="A31" t="s">
        <v>4</v>
      </c>
      <c r="B31" t="s">
        <v>5</v>
      </c>
      <c r="E31" t="s">
        <v>13</v>
      </c>
      <c r="F31" s="35">
        <f t="array" ref="F31:M38">MINVERSE(_xlfn.MUNIT(8)-MMULT(O8:W15,F17:M25))</f>
        <v>1.770115325347942</v>
      </c>
      <c r="G31" s="35">
        <v>6.5624163420234971E-2</v>
      </c>
      <c r="H31" s="35">
        <v>0.56847289383307353</v>
      </c>
      <c r="I31" s="35">
        <v>9.3620526635798901E-4</v>
      </c>
      <c r="J31" s="35">
        <v>2.4394037015025044E-2</v>
      </c>
      <c r="K31" s="35">
        <v>2.2774334186209874E-3</v>
      </c>
      <c r="L31" s="35">
        <v>4.422048654156762E-2</v>
      </c>
      <c r="M31" s="35">
        <v>2.4878302422693497E-5</v>
      </c>
      <c r="O31" s="18">
        <f t="array" ref="O31:W38">MMULT(O8:W15,_xlfn.MUNIT(9)*AB40:AB48)</f>
        <v>2835.7976027882542</v>
      </c>
      <c r="P31" s="18">
        <v>1266.1653215348949</v>
      </c>
      <c r="Q31" s="18">
        <v>27.857354217968872</v>
      </c>
      <c r="R31" s="18">
        <v>0</v>
      </c>
      <c r="S31" s="19">
        <v>328.0001123849047</v>
      </c>
      <c r="T31" s="18">
        <v>159.62598391203264</v>
      </c>
      <c r="U31" s="18">
        <v>143.85169646645909</v>
      </c>
      <c r="V31" s="18">
        <v>12.654374796400983</v>
      </c>
      <c r="W31" s="18">
        <v>17.524815198510538</v>
      </c>
      <c r="AB31" s="16">
        <f t="array" ref="AB31:AB38">MMULT(F31:M38,AB8:AB15)</f>
        <v>5772.6337054588139</v>
      </c>
      <c r="AC31" s="8">
        <v>5772.6337054588139</v>
      </c>
    </row>
    <row r="32" spans="1:29">
      <c r="B32" t="s">
        <v>6</v>
      </c>
      <c r="E32" t="s">
        <v>14</v>
      </c>
      <c r="F32" s="35">
        <v>7.6139089124388297E-4</v>
      </c>
      <c r="G32" s="35">
        <v>1.0000661859105693</v>
      </c>
      <c r="H32" s="35">
        <v>5.7624702752947718E-4</v>
      </c>
      <c r="I32" s="35">
        <v>1.0264385607111491E-6</v>
      </c>
      <c r="J32" s="35">
        <v>2.6133166712001888E-5</v>
      </c>
      <c r="K32" s="35">
        <v>2.5064349899637664E-6</v>
      </c>
      <c r="L32" s="35">
        <v>4.4953042093283362E-5</v>
      </c>
      <c r="M32" s="35">
        <v>2.8770934591127663E-8</v>
      </c>
      <c r="O32" s="18">
        <v>3.6903780372543418</v>
      </c>
      <c r="P32" s="18">
        <v>1.0192163555256164</v>
      </c>
      <c r="Q32" s="18">
        <v>2.5452240681330056E-2</v>
      </c>
      <c r="R32" s="18">
        <v>0</v>
      </c>
      <c r="S32" s="19">
        <v>4.1919265433154537E-2</v>
      </c>
      <c r="T32" s="18">
        <v>0.28565498457098093</v>
      </c>
      <c r="U32" s="18">
        <v>0.12576864348800143</v>
      </c>
      <c r="V32" s="18">
        <v>6.4779684970161337E-3</v>
      </c>
      <c r="W32" s="18">
        <v>3.203625064437437E-3</v>
      </c>
      <c r="AB32" s="16">
        <v>13.838061923753955</v>
      </c>
      <c r="AC32">
        <v>13.838061923753955</v>
      </c>
    </row>
    <row r="33" spans="1:29">
      <c r="B33" t="s">
        <v>7</v>
      </c>
      <c r="E33" t="s">
        <v>13</v>
      </c>
      <c r="F33" s="35">
        <v>3.7301676654548657E-2</v>
      </c>
      <c r="G33" s="35">
        <v>2.9651668350023082E-3</v>
      </c>
      <c r="H33" s="35">
        <v>1.1219233934197432</v>
      </c>
      <c r="I33" s="35">
        <v>2.1550290809861471E-5</v>
      </c>
      <c r="J33" s="35">
        <v>2.3792827003589092E-3</v>
      </c>
      <c r="K33" s="35">
        <v>2.0385043849409118E-4</v>
      </c>
      <c r="L33" s="35">
        <v>7.8353606080250483E-3</v>
      </c>
      <c r="M33" s="35">
        <v>1.9289484261586882E-6</v>
      </c>
      <c r="O33" s="18">
        <v>9.0561960715757319</v>
      </c>
      <c r="P33" s="18">
        <v>104.49289146306857</v>
      </c>
      <c r="Q33" s="18">
        <v>17.193421528714659</v>
      </c>
      <c r="R33" s="18">
        <v>0</v>
      </c>
      <c r="S33" s="19">
        <v>0</v>
      </c>
      <c r="T33" s="18">
        <v>5.9219190442976721</v>
      </c>
      <c r="U33" s="18">
        <v>25.951268734066847</v>
      </c>
      <c r="V33" s="18">
        <v>10.635082390307122</v>
      </c>
      <c r="W33" s="18">
        <v>0</v>
      </c>
      <c r="AB33" s="16">
        <v>176.00978193248085</v>
      </c>
      <c r="AC33">
        <v>176.00978193248085</v>
      </c>
    </row>
    <row r="34" spans="1:29">
      <c r="B34" t="s">
        <v>2</v>
      </c>
      <c r="E34" t="s">
        <v>12</v>
      </c>
      <c r="F34" s="16">
        <v>1032.8527330298143</v>
      </c>
      <c r="G34" s="16">
        <v>85.805811274184876</v>
      </c>
      <c r="H34" s="16">
        <v>717.67166447026386</v>
      </c>
      <c r="I34" s="16">
        <v>2.0132994567920295</v>
      </c>
      <c r="J34" s="16">
        <v>22.580098281845906</v>
      </c>
      <c r="K34" s="16">
        <v>2.0814854707134836</v>
      </c>
      <c r="L34" s="16">
        <v>42.679587386685476</v>
      </c>
      <c r="M34" s="16">
        <v>2.1918067061051965E-2</v>
      </c>
      <c r="O34" s="20">
        <v>2484791.0258404859</v>
      </c>
      <c r="P34" s="20">
        <v>2261116.7575278454</v>
      </c>
      <c r="Q34" s="20">
        <v>41226.234434831902</v>
      </c>
      <c r="R34" s="20">
        <v>0</v>
      </c>
      <c r="S34" s="21">
        <v>309754.91791512526</v>
      </c>
      <c r="T34" s="20">
        <v>51929.292376352372</v>
      </c>
      <c r="U34" s="20">
        <v>87249.415708500004</v>
      </c>
      <c r="V34" s="20">
        <v>9568.3314232303856</v>
      </c>
      <c r="W34" s="20">
        <v>54.705862997892815</v>
      </c>
      <c r="AB34" s="17">
        <v>8783683.2343207113</v>
      </c>
      <c r="AC34">
        <v>8783683.2343207113</v>
      </c>
    </row>
    <row r="35" spans="1:29">
      <c r="A35" t="s">
        <v>8</v>
      </c>
      <c r="B35" t="s">
        <v>5</v>
      </c>
      <c r="E35" t="s">
        <v>13</v>
      </c>
      <c r="F35" s="35">
        <v>0.66237456714433007</v>
      </c>
      <c r="G35" s="35">
        <v>5.3749765937645473E-2</v>
      </c>
      <c r="H35" s="35">
        <v>1.5959649961382616</v>
      </c>
      <c r="I35" s="35">
        <v>5.2136730666741055E-4</v>
      </c>
      <c r="J35" s="35">
        <v>2.2560855662853663</v>
      </c>
      <c r="K35" s="35">
        <v>0.12142137303555892</v>
      </c>
      <c r="L35" s="35">
        <v>2.3059169970140752</v>
      </c>
      <c r="M35" s="35">
        <v>1.4869538157878432E-3</v>
      </c>
      <c r="O35" s="18">
        <v>318.80498252576973</v>
      </c>
      <c r="P35" s="18">
        <v>654.61653260438516</v>
      </c>
      <c r="Q35" s="18">
        <v>91.063524809175547</v>
      </c>
      <c r="R35" s="18">
        <v>0</v>
      </c>
      <c r="S35" s="19">
        <v>99.455012291557125</v>
      </c>
      <c r="T35" s="18">
        <v>23482.60870135024</v>
      </c>
      <c r="U35" s="18">
        <v>13814.276933037241</v>
      </c>
      <c r="V35" s="18">
        <v>1750.6274045623493</v>
      </c>
      <c r="W35" s="18">
        <v>3766.4462451367335</v>
      </c>
      <c r="AB35" s="16">
        <v>52041.884479098473</v>
      </c>
      <c r="AC35">
        <v>52041.884479098473</v>
      </c>
    </row>
    <row r="36" spans="1:29">
      <c r="B36" t="s">
        <v>6</v>
      </c>
      <c r="E36" t="s">
        <v>14</v>
      </c>
      <c r="F36" s="35">
        <v>1.8467346582210891E-4</v>
      </c>
      <c r="G36" s="35">
        <v>1.5279145272574163E-5</v>
      </c>
      <c r="H36" s="35">
        <v>3.3966378031021968E-4</v>
      </c>
      <c r="I36" s="35">
        <v>1.7337600689216347E-7</v>
      </c>
      <c r="J36" s="35">
        <v>4.1333705739381692E-4</v>
      </c>
      <c r="K36" s="35">
        <v>1.0000422204584714</v>
      </c>
      <c r="L36" s="35">
        <v>6.2960179281692748E-4</v>
      </c>
      <c r="M36" s="35">
        <v>5.4701192926849672E-7</v>
      </c>
      <c r="O36" s="18">
        <v>0.25046146513168766</v>
      </c>
      <c r="P36" s="18">
        <v>8.2593353401418157E-2</v>
      </c>
      <c r="Q36" s="18">
        <v>1.7303521464527413E-3</v>
      </c>
      <c r="R36" s="18">
        <v>0</v>
      </c>
      <c r="S36" s="19">
        <v>3.3026229941685811E-3</v>
      </c>
      <c r="T36" s="18">
        <v>11.307367954047182</v>
      </c>
      <c r="U36" s="18">
        <v>3.7006526649473725</v>
      </c>
      <c r="V36" s="18">
        <v>0.20865494614852467</v>
      </c>
      <c r="W36" s="18">
        <v>9.8096453479460777E-2</v>
      </c>
      <c r="AB36" s="16">
        <v>46.312038197111043</v>
      </c>
      <c r="AC36">
        <v>46.312038197111043</v>
      </c>
    </row>
    <row r="37" spans="1:29">
      <c r="B37" t="s">
        <v>7</v>
      </c>
      <c r="E37" t="s">
        <v>13</v>
      </c>
      <c r="F37" s="35">
        <v>3.7419005359292212E-2</v>
      </c>
      <c r="G37" s="35">
        <v>3.0116767117982514E-3</v>
      </c>
      <c r="H37" s="35">
        <v>8.1472525461881343E-2</v>
      </c>
      <c r="I37" s="35">
        <v>2.6233854009378109E-5</v>
      </c>
      <c r="J37" s="35">
        <v>7.0041105571877663E-2</v>
      </c>
      <c r="K37" s="35">
        <v>5.5397239114491192E-3</v>
      </c>
      <c r="L37" s="35">
        <v>1.4019364132117911</v>
      </c>
      <c r="M37" s="35">
        <v>5.118252211791217E-5</v>
      </c>
      <c r="O37" s="18">
        <v>4.8507842271161525</v>
      </c>
      <c r="P37" s="18">
        <v>37.259649890606639</v>
      </c>
      <c r="Q37" s="18">
        <v>3.1447814774654232</v>
      </c>
      <c r="R37" s="18">
        <v>0</v>
      </c>
      <c r="S37" s="19">
        <v>0</v>
      </c>
      <c r="T37" s="18">
        <v>154.58580791941458</v>
      </c>
      <c r="U37" s="18">
        <v>800.4214704701327</v>
      </c>
      <c r="V37" s="18">
        <v>786.05290525224291</v>
      </c>
      <c r="W37" s="18">
        <v>0</v>
      </c>
      <c r="AB37" s="16">
        <v>1825.3798809842954</v>
      </c>
      <c r="AC37">
        <v>1825.3798809842954</v>
      </c>
    </row>
    <row r="38" spans="1:29">
      <c r="B38" t="s">
        <v>2</v>
      </c>
      <c r="E38" t="s">
        <v>12</v>
      </c>
      <c r="F38" s="16">
        <v>382.78494301702244</v>
      </c>
      <c r="G38" s="16">
        <v>31.08643277750944</v>
      </c>
      <c r="H38" s="16">
        <v>869.73816289311299</v>
      </c>
      <c r="I38" s="16">
        <v>0.30246692492244542</v>
      </c>
      <c r="J38" s="16">
        <v>1187.754734668122</v>
      </c>
      <c r="K38" s="16">
        <v>108.98134973442824</v>
      </c>
      <c r="L38" s="16">
        <v>1799.7717733028899</v>
      </c>
      <c r="M38" s="16">
        <v>2.1308042859937792</v>
      </c>
      <c r="O38" s="18">
        <v>42229.607946591786</v>
      </c>
      <c r="P38" s="18">
        <v>48262.201908247676</v>
      </c>
      <c r="Q38" s="18">
        <v>550.82485078322611</v>
      </c>
      <c r="R38" s="18">
        <v>0</v>
      </c>
      <c r="S38" s="19">
        <v>56.869073294341426</v>
      </c>
      <c r="T38" s="18">
        <v>11791823.862989154</v>
      </c>
      <c r="U38" s="18">
        <v>19332564.303805754</v>
      </c>
      <c r="V38" s="18">
        <v>1041004.4552163464</v>
      </c>
      <c r="W38" s="18">
        <v>2613002.6050728085</v>
      </c>
      <c r="AB38" s="16">
        <v>55889439.758871183</v>
      </c>
      <c r="AC38">
        <v>55889439.758871183</v>
      </c>
    </row>
    <row r="39" spans="1:29">
      <c r="F39" s="1" t="s">
        <v>120</v>
      </c>
      <c r="AB39" s="1" t="s">
        <v>30</v>
      </c>
      <c r="AC39">
        <v>807326.59708193142</v>
      </c>
    </row>
    <row r="40" spans="1:29">
      <c r="A40" t="s">
        <v>4</v>
      </c>
      <c r="C40" t="s">
        <v>6</v>
      </c>
      <c r="E40" s="4" t="s">
        <v>11</v>
      </c>
      <c r="F40" s="18">
        <f t="array" ref="F40:M48">MMULT(F17:M25,_xlfn.MUNIT(8)*AB31:AB38)</f>
        <v>1093.5242111214593</v>
      </c>
      <c r="G40" s="18">
        <v>13.005178371267322</v>
      </c>
      <c r="H40" s="18">
        <v>0</v>
      </c>
      <c r="I40" s="19">
        <v>806220.06769243872</v>
      </c>
      <c r="J40" s="18">
        <v>0</v>
      </c>
      <c r="K40" s="18">
        <v>0</v>
      </c>
      <c r="L40" s="18">
        <v>0</v>
      </c>
      <c r="M40" s="18">
        <v>0</v>
      </c>
      <c r="AB40" s="16">
        <f t="array" ref="AB40:AB48">MMULT(F17:M25,AB31:AB38)</f>
        <v>807326.59708193142</v>
      </c>
      <c r="AC40">
        <v>4679.9423778898408</v>
      </c>
    </row>
    <row r="41" spans="1:29">
      <c r="C41" t="s">
        <v>10</v>
      </c>
      <c r="E41" s="4" t="s">
        <v>11</v>
      </c>
      <c r="F41" s="18">
        <v>4679.1094943373546</v>
      </c>
      <c r="G41" s="18">
        <v>0.8328835524866337</v>
      </c>
      <c r="H41" s="18">
        <v>0</v>
      </c>
      <c r="I41" s="19">
        <v>0</v>
      </c>
      <c r="J41" s="18">
        <v>0</v>
      </c>
      <c r="K41" s="18">
        <v>0</v>
      </c>
      <c r="L41" s="18">
        <v>0</v>
      </c>
      <c r="M41" s="18">
        <v>0</v>
      </c>
      <c r="AB41" s="16">
        <v>4679.9423778898408</v>
      </c>
      <c r="AC41">
        <v>176.00978193248085</v>
      </c>
    </row>
    <row r="42" spans="1:29">
      <c r="C42" t="s">
        <v>24</v>
      </c>
      <c r="E42" s="4" t="s">
        <v>11</v>
      </c>
      <c r="F42" s="18">
        <v>0</v>
      </c>
      <c r="G42" s="18">
        <v>0</v>
      </c>
      <c r="H42" s="18">
        <v>176.00978193248085</v>
      </c>
      <c r="I42" s="19">
        <v>0</v>
      </c>
      <c r="J42" s="18">
        <v>0</v>
      </c>
      <c r="K42" s="18">
        <v>0</v>
      </c>
      <c r="L42" s="18">
        <v>0</v>
      </c>
      <c r="M42" s="18">
        <v>0</v>
      </c>
      <c r="AB42" s="16">
        <v>176.00978193248085</v>
      </c>
      <c r="AC42">
        <v>0</v>
      </c>
    </row>
    <row r="43" spans="1:29">
      <c r="C43" t="s">
        <v>26</v>
      </c>
      <c r="E43" s="4"/>
      <c r="F43" s="18">
        <v>0</v>
      </c>
      <c r="G43" s="18">
        <v>0</v>
      </c>
      <c r="H43" s="18">
        <v>0</v>
      </c>
      <c r="I43" s="19">
        <v>0</v>
      </c>
      <c r="J43" s="18">
        <v>0</v>
      </c>
      <c r="K43" s="18">
        <v>0</v>
      </c>
      <c r="L43" s="18">
        <v>0</v>
      </c>
      <c r="M43" s="18">
        <v>0</v>
      </c>
      <c r="AB43" s="16">
        <v>0</v>
      </c>
      <c r="AC43">
        <v>7977463.1666282732</v>
      </c>
    </row>
    <row r="44" spans="1:29">
      <c r="C44" t="s">
        <v>2</v>
      </c>
      <c r="E44" s="4" t="s">
        <v>11</v>
      </c>
      <c r="F44" s="20">
        <v>0</v>
      </c>
      <c r="G44" s="20">
        <v>0</v>
      </c>
      <c r="H44" s="20">
        <v>0</v>
      </c>
      <c r="I44" s="21">
        <v>7977463.1666282732</v>
      </c>
      <c r="J44" s="20">
        <v>0</v>
      </c>
      <c r="K44" s="20">
        <v>0</v>
      </c>
      <c r="L44" s="20">
        <v>0</v>
      </c>
      <c r="M44" s="20">
        <v>0</v>
      </c>
      <c r="AB44" s="17">
        <v>7977463.1666282732</v>
      </c>
      <c r="AC44">
        <v>1948834.1543016376</v>
      </c>
    </row>
    <row r="45" spans="1:29">
      <c r="A45" t="s">
        <v>8</v>
      </c>
      <c r="C45" t="s">
        <v>6</v>
      </c>
      <c r="E45" s="4" t="s">
        <v>11</v>
      </c>
      <c r="F45" s="18">
        <v>0</v>
      </c>
      <c r="G45" s="18">
        <v>0</v>
      </c>
      <c r="H45" s="18">
        <v>0</v>
      </c>
      <c r="I45" s="19">
        <v>0</v>
      </c>
      <c r="J45" s="18">
        <v>8251.2317598370519</v>
      </c>
      <c r="K45" s="18">
        <v>43.547240707683571</v>
      </c>
      <c r="L45" s="18">
        <v>0</v>
      </c>
      <c r="M45" s="18">
        <v>1940539.3753010929</v>
      </c>
      <c r="AB45" s="16">
        <v>1948834.1543016376</v>
      </c>
      <c r="AC45">
        <v>42426.862506289595</v>
      </c>
    </row>
    <row r="46" spans="1:29">
      <c r="C46" t="s">
        <v>10</v>
      </c>
      <c r="E46" s="4" t="s">
        <v>11</v>
      </c>
      <c r="F46" s="18">
        <v>0</v>
      </c>
      <c r="G46" s="18">
        <v>0</v>
      </c>
      <c r="H46" s="18">
        <v>0</v>
      </c>
      <c r="I46" s="19">
        <v>0</v>
      </c>
      <c r="J46" s="18">
        <v>42424.097708800167</v>
      </c>
      <c r="K46" s="18">
        <v>2.7647974894274783</v>
      </c>
      <c r="L46" s="18">
        <v>0</v>
      </c>
      <c r="M46" s="18">
        <v>0</v>
      </c>
      <c r="AB46" s="16">
        <v>42426.862506289595</v>
      </c>
      <c r="AC46">
        <v>3183.3032083931694</v>
      </c>
    </row>
    <row r="47" spans="1:29">
      <c r="C47" t="s">
        <v>25</v>
      </c>
      <c r="E47" s="4" t="s">
        <v>11</v>
      </c>
      <c r="F47" s="18">
        <v>0</v>
      </c>
      <c r="G47" s="18">
        <v>0</v>
      </c>
      <c r="H47" s="18">
        <v>0</v>
      </c>
      <c r="I47" s="19">
        <v>0</v>
      </c>
      <c r="J47" s="18">
        <v>1357.9233274088738</v>
      </c>
      <c r="K47" s="18">
        <v>0</v>
      </c>
      <c r="L47" s="18">
        <v>1825.3798809842954</v>
      </c>
      <c r="M47" s="18">
        <v>0</v>
      </c>
      <c r="AB47" s="16">
        <v>3183.3032083931694</v>
      </c>
      <c r="AC47">
        <v>53948909.015253142</v>
      </c>
    </row>
    <row r="48" spans="1:29">
      <c r="C48" t="s">
        <v>2</v>
      </c>
      <c r="E48" s="4" t="s">
        <v>11</v>
      </c>
      <c r="F48" s="18">
        <v>0</v>
      </c>
      <c r="G48" s="18">
        <v>0</v>
      </c>
      <c r="H48" s="18">
        <v>0</v>
      </c>
      <c r="I48" s="19">
        <v>0</v>
      </c>
      <c r="J48" s="18">
        <v>8.6316830523804704</v>
      </c>
      <c r="K48" s="18">
        <v>0</v>
      </c>
      <c r="L48" s="18">
        <v>0</v>
      </c>
      <c r="M48" s="18">
        <v>53948900.38357009</v>
      </c>
      <c r="AB48" s="16">
        <v>53948909.015253142</v>
      </c>
    </row>
    <row r="49" spans="1:29">
      <c r="E49" s="4"/>
      <c r="F49" s="15"/>
      <c r="G49" s="15"/>
      <c r="H49" s="15"/>
      <c r="I49" s="15"/>
      <c r="J49" s="15"/>
      <c r="K49" s="15"/>
      <c r="L49" s="15"/>
      <c r="M49" s="15"/>
      <c r="AB49" s="15"/>
    </row>
    <row r="50" spans="1:29">
      <c r="D50" t="s">
        <v>19</v>
      </c>
      <c r="E50" s="4" t="s">
        <v>14</v>
      </c>
      <c r="F50" s="15"/>
      <c r="N50" s="3" t="s">
        <v>31</v>
      </c>
      <c r="O50" s="22">
        <f t="array" ref="O50:W51">MMULT(O27:W28,_xlfn.MUNIT(9)*AB40:AB48)</f>
        <v>7.5345931032988958</v>
      </c>
      <c r="P50" s="22">
        <v>1.5731852880407129</v>
      </c>
      <c r="Q50" s="22">
        <v>2.3665152661228095E-2</v>
      </c>
      <c r="R50" s="22">
        <v>0</v>
      </c>
      <c r="S50" s="23">
        <v>6.9144714711273605E-2</v>
      </c>
      <c r="T50" s="22">
        <v>24.058293488404541</v>
      </c>
      <c r="U50" s="22">
        <v>7.2576800281128113</v>
      </c>
      <c r="V50" s="22">
        <v>0.33243730244388192</v>
      </c>
      <c r="W50" s="22">
        <v>0.32431117312228042</v>
      </c>
      <c r="AB50" s="61" t="s">
        <v>121</v>
      </c>
    </row>
    <row r="51" spans="1:29">
      <c r="D51" t="s">
        <v>20</v>
      </c>
      <c r="E51" s="4" t="s">
        <v>13</v>
      </c>
      <c r="N51" s="3"/>
      <c r="O51" s="111">
        <v>885.38073169206007</v>
      </c>
      <c r="P51" s="111">
        <v>755.66557109684538</v>
      </c>
      <c r="Q51" s="111">
        <v>133.51844517633111</v>
      </c>
      <c r="R51" s="111">
        <v>0</v>
      </c>
      <c r="S51" s="112">
        <v>595.13313747946825</v>
      </c>
      <c r="T51" s="111">
        <v>5296.1613629006097</v>
      </c>
      <c r="U51" s="111">
        <v>10223.449547404749</v>
      </c>
      <c r="V51" s="111">
        <v>2150.2071510446121</v>
      </c>
      <c r="W51" s="111">
        <v>7394.447565065404</v>
      </c>
      <c r="AB51" s="18">
        <f>SUM(O51:W51,Y28:Z28)</f>
        <v>31654.717236179902</v>
      </c>
    </row>
    <row r="53" spans="1:29" s="38" customFormat="1">
      <c r="A53" s="37" t="s">
        <v>86</v>
      </c>
    </row>
    <row r="54" spans="1:29">
      <c r="AB54" t="s">
        <v>4</v>
      </c>
      <c r="AC54" t="s">
        <v>8</v>
      </c>
    </row>
    <row r="55" spans="1:29">
      <c r="D55" t="s">
        <v>34</v>
      </c>
      <c r="E55" s="4" t="s">
        <v>14</v>
      </c>
      <c r="F55" s="39">
        <f t="array" ref="F55:M56">MMULT(MMULT(O27:W28,F17:M25),F31:M38)</f>
        <v>1.6490477330378687E-3</v>
      </c>
      <c r="G55" s="39">
        <v>1.4314629603075804E-4</v>
      </c>
      <c r="H55" s="39">
        <v>1.5435715137695524E-3</v>
      </c>
      <c r="I55" s="47">
        <v>2.2094448332127534E-6</v>
      </c>
      <c r="J55" s="39">
        <v>8.7502714751885933E-4</v>
      </c>
      <c r="K55" s="39">
        <v>8.9696993243035009E-5</v>
      </c>
      <c r="L55" s="39">
        <v>1.3107335625338521E-3</v>
      </c>
      <c r="M55" s="39">
        <v>1.1713961411453341E-6</v>
      </c>
      <c r="N55" s="1" t="s">
        <v>39</v>
      </c>
      <c r="Z55" t="s">
        <v>35</v>
      </c>
      <c r="AA55" t="s">
        <v>36</v>
      </c>
      <c r="AB55" s="42">
        <f>H55*1000</f>
        <v>1.5435715137695525</v>
      </c>
      <c r="AC55" s="39">
        <f>L55*1000</f>
        <v>1.3107335625338521</v>
      </c>
    </row>
    <row r="56" spans="1:29">
      <c r="D56" t="s">
        <v>20</v>
      </c>
      <c r="E56" s="4" t="s">
        <v>13</v>
      </c>
      <c r="F56" s="39">
        <v>0.6884091458580438</v>
      </c>
      <c r="G56" s="39">
        <v>5.6662208566390648E-2</v>
      </c>
      <c r="H56" s="39">
        <v>1.6409605824154903</v>
      </c>
      <c r="I56" s="47">
        <v>6.7626303759501648E-4</v>
      </c>
      <c r="J56" s="39">
        <v>0.80924965858146769</v>
      </c>
      <c r="K56" s="39">
        <v>7.2232905948326681E-2</v>
      </c>
      <c r="L56" s="39">
        <v>1.8684339311460068</v>
      </c>
      <c r="M56" s="39">
        <v>8.4490775896390907E-4</v>
      </c>
      <c r="N56" s="1"/>
      <c r="Z56" t="s">
        <v>20</v>
      </c>
      <c r="AA56" t="s">
        <v>37</v>
      </c>
      <c r="AB56" s="39">
        <f>H56</f>
        <v>1.6409605824154903</v>
      </c>
      <c r="AC56" s="39">
        <f>L56</f>
        <v>1.8684339311460068</v>
      </c>
    </row>
    <row r="57" spans="1:29" ht="16.05" customHeight="1"/>
    <row r="58" spans="1:29" ht="16.05" customHeight="1">
      <c r="D58" t="s">
        <v>34</v>
      </c>
      <c r="E58" s="4" t="s">
        <v>14</v>
      </c>
      <c r="F58" s="22" cm="1">
        <f t="array" ref="F58:M59">MMULT(F55:M56,_xlfn.MUNIT(8)*AB8:AB15)</f>
        <v>1.6179738099937875</v>
      </c>
      <c r="G58" s="22">
        <v>1.2367826812234883E-3</v>
      </c>
      <c r="H58" s="22">
        <v>4.2587179735753379E-3</v>
      </c>
      <c r="I58" s="23">
        <v>7.816999366682186</v>
      </c>
      <c r="J58" s="22">
        <v>7.0562059171232656</v>
      </c>
      <c r="K58" s="22">
        <v>2.7500361164197384E-3</v>
      </c>
      <c r="L58" s="22">
        <v>5.1203127329308235E-2</v>
      </c>
      <c r="M58" s="22">
        <v>24.622682492895859</v>
      </c>
      <c r="N58" s="1" t="s">
        <v>147</v>
      </c>
    </row>
    <row r="59" spans="1:29" ht="16.05" customHeight="1">
      <c r="D59" t="s">
        <v>20</v>
      </c>
      <c r="E59" s="4" t="s">
        <v>13</v>
      </c>
      <c r="F59" s="111">
        <v>675.43706967573269</v>
      </c>
      <c r="G59" s="111">
        <v>0.48956096090482981</v>
      </c>
      <c r="H59" s="111">
        <v>4.5274146768847636</v>
      </c>
      <c r="I59" s="112">
        <v>2392.6135910367757</v>
      </c>
      <c r="J59" s="111">
        <v>6525.7772236026112</v>
      </c>
      <c r="K59" s="111">
        <v>2.214601548723298</v>
      </c>
      <c r="L59" s="111">
        <v>72.989403199476001</v>
      </c>
      <c r="M59" s="111">
        <v>17759.91464715897</v>
      </c>
    </row>
    <row r="60" spans="1:29" ht="16.05" customHeight="1"/>
    <row r="61" spans="1:29" s="38" customFormat="1">
      <c r="A61" s="37" t="s">
        <v>146</v>
      </c>
    </row>
    <row r="62" spans="1:29">
      <c r="A62" s="43"/>
      <c r="O62" s="15" t="s">
        <v>40</v>
      </c>
      <c r="P62" s="15"/>
      <c r="Q62" s="15"/>
      <c r="R62" s="15"/>
      <c r="S62" s="15"/>
      <c r="T62" s="15"/>
      <c r="U62" s="15"/>
      <c r="V62" s="15"/>
    </row>
    <row r="63" spans="1:29">
      <c r="A63" t="s">
        <v>4</v>
      </c>
      <c r="C63" t="s">
        <v>6</v>
      </c>
      <c r="E63" s="4" t="s">
        <v>11</v>
      </c>
      <c r="O63" s="34">
        <f t="array" ref="O63:W71">MINVERSE(_xlfn.MUNIT(9)-MMULT(F17:M25,O8:W15))</f>
        <v>1.9052127017729896</v>
      </c>
      <c r="P63" s="34">
        <v>116.92628701897733</v>
      </c>
      <c r="Q63" s="34">
        <v>65.980515212116003</v>
      </c>
      <c r="R63" s="34">
        <v>74.265524634117284</v>
      </c>
      <c r="S63" s="44">
        <v>1.1119819433207704E-2</v>
      </c>
      <c r="T63" s="34">
        <v>5.0466192340216494E-2</v>
      </c>
      <c r="U63" s="34">
        <v>2.4126205808273178</v>
      </c>
      <c r="V63" s="34">
        <v>3.9258121131054797</v>
      </c>
      <c r="W63" s="34">
        <v>2.7378116416478974E-4</v>
      </c>
      <c r="Z63" s="88" t="s">
        <v>125</v>
      </c>
    </row>
    <row r="64" spans="1:29">
      <c r="C64" t="s">
        <v>10</v>
      </c>
      <c r="E64" s="4" t="s">
        <v>11</v>
      </c>
      <c r="O64" s="34">
        <v>7.3905712732942625E-3</v>
      </c>
      <c r="P64" s="34">
        <v>1.7684446593739656</v>
      </c>
      <c r="Q64" s="34">
        <v>0.46082035744529304</v>
      </c>
      <c r="R64" s="34">
        <v>0.45353962189866132</v>
      </c>
      <c r="S64" s="44">
        <v>8.8709972866592252E-5</v>
      </c>
      <c r="T64" s="34">
        <v>5.0232079533094531E-4</v>
      </c>
      <c r="U64" s="34">
        <v>2.3012518832399045E-2</v>
      </c>
      <c r="V64" s="34">
        <v>3.5846396563235815E-2</v>
      </c>
      <c r="W64" s="34">
        <v>2.8242369153440506E-6</v>
      </c>
      <c r="Z64" t="s">
        <v>126</v>
      </c>
    </row>
    <row r="65" spans="1:30">
      <c r="C65" t="s">
        <v>24</v>
      </c>
      <c r="E65" s="4" t="s">
        <v>11</v>
      </c>
      <c r="O65" s="34">
        <v>2.1103890357618285E-4</v>
      </c>
      <c r="P65" s="34">
        <v>4.5969888081520499E-2</v>
      </c>
      <c r="Q65" s="34">
        <v>1.1219233934197903</v>
      </c>
      <c r="R65" s="34">
        <v>0.12163755948119086</v>
      </c>
      <c r="S65" s="44">
        <v>2.4001525991855663E-6</v>
      </c>
      <c r="T65" s="34">
        <v>4.8002709616219056E-5</v>
      </c>
      <c r="U65" s="34">
        <v>2.6585468816945051E-3</v>
      </c>
      <c r="V65" s="34">
        <v>7.8353606081898453E-3</v>
      </c>
      <c r="W65" s="34">
        <v>2.7167743207186049E-7</v>
      </c>
    </row>
    <row r="66" spans="1:30">
      <c r="C66" t="s">
        <v>26</v>
      </c>
      <c r="E66" s="4"/>
      <c r="O66" s="34">
        <v>0</v>
      </c>
      <c r="P66" s="34">
        <v>0</v>
      </c>
      <c r="Q66" s="34">
        <v>0</v>
      </c>
      <c r="R66" s="34">
        <v>1</v>
      </c>
      <c r="S66" s="44">
        <v>0</v>
      </c>
      <c r="T66" s="34">
        <v>0</v>
      </c>
      <c r="U66" s="34">
        <v>0</v>
      </c>
      <c r="V66" s="34">
        <v>0</v>
      </c>
      <c r="W66" s="34">
        <v>0</v>
      </c>
    </row>
    <row r="67" spans="1:30">
      <c r="C67" t="s">
        <v>2</v>
      </c>
      <c r="E67" s="4" t="s">
        <v>11</v>
      </c>
      <c r="O67" s="34">
        <v>8.9397989497490986</v>
      </c>
      <c r="P67" s="34">
        <v>1155.1877805213719</v>
      </c>
      <c r="Q67" s="34">
        <v>651.79937804154974</v>
      </c>
      <c r="R67" s="34">
        <v>733.79519151704744</v>
      </c>
      <c r="S67" s="44">
        <v>1.1098236069035439</v>
      </c>
      <c r="T67" s="34">
        <v>0.49818939483404379</v>
      </c>
      <c r="U67" s="34">
        <v>23.819133103136782</v>
      </c>
      <c r="V67" s="34">
        <v>38.762194316566365</v>
      </c>
      <c r="W67" s="34">
        <v>2.7024726931693661E-3</v>
      </c>
    </row>
    <row r="68" spans="1:30">
      <c r="A68" t="s">
        <v>8</v>
      </c>
      <c r="C68" t="s">
        <v>6</v>
      </c>
      <c r="E68" s="4" t="s">
        <v>11</v>
      </c>
      <c r="O68" s="45">
        <v>0.10066666281237246</v>
      </c>
      <c r="P68" s="45">
        <v>16.503022259093488</v>
      </c>
      <c r="Q68" s="45">
        <v>30.451571375511445</v>
      </c>
      <c r="R68" s="45">
        <v>25.891216102704359</v>
      </c>
      <c r="S68" s="46">
        <v>1.480918270905318E-3</v>
      </c>
      <c r="T68" s="45">
        <v>1.9568088177717471</v>
      </c>
      <c r="U68" s="45">
        <v>48.63620485880633</v>
      </c>
      <c r="V68" s="45">
        <v>62.856139326253277</v>
      </c>
      <c r="W68" s="45">
        <v>6.5033779668495877E-3</v>
      </c>
    </row>
    <row r="69" spans="1:30">
      <c r="C69" t="s">
        <v>10</v>
      </c>
      <c r="E69" s="4" t="s">
        <v>11</v>
      </c>
      <c r="O69" s="34">
        <v>4.0206520372161863E-3</v>
      </c>
      <c r="P69" s="34">
        <v>0.66522704291908097</v>
      </c>
      <c r="Q69" s="34">
        <v>1.3010372491959474</v>
      </c>
      <c r="R69" s="34">
        <v>1.0947171470708184</v>
      </c>
      <c r="S69" s="44">
        <v>6.1642436358044591E-5</v>
      </c>
      <c r="T69" s="34">
        <v>2.9705276185181879E-2</v>
      </c>
      <c r="U69" s="34">
        <v>2.1901690520603014</v>
      </c>
      <c r="V69" s="34">
        <v>1.879801338036869</v>
      </c>
      <c r="W69" s="34">
        <v>1.87289504405606E-4</v>
      </c>
    </row>
    <row r="70" spans="1:30">
      <c r="C70" t="s">
        <v>25</v>
      </c>
      <c r="E70" s="4" t="s">
        <v>11</v>
      </c>
      <c r="O70" s="16">
        <v>3.8055942041657936E-4</v>
      </c>
      <c r="P70" s="34">
        <v>6.7397448336171853E-2</v>
      </c>
      <c r="Q70" s="34">
        <v>0.12311586946596997</v>
      </c>
      <c r="R70" s="34">
        <v>0.10867986715188042</v>
      </c>
      <c r="S70" s="44">
        <v>5.4037585991443947E-6</v>
      </c>
      <c r="T70" s="34">
        <v>2.2196926427922735E-3</v>
      </c>
      <c r="U70" s="34">
        <v>0.11090209415066131</v>
      </c>
      <c r="V70" s="34">
        <v>1.4621044588668557</v>
      </c>
      <c r="W70" s="34">
        <v>1.337583892314247E-5</v>
      </c>
    </row>
    <row r="71" spans="1:30">
      <c r="C71" t="s">
        <v>2</v>
      </c>
      <c r="E71" s="4" t="s">
        <v>11</v>
      </c>
      <c r="O71" s="34">
        <v>2.7768490570406286</v>
      </c>
      <c r="P71" s="34">
        <v>455.19752429520264</v>
      </c>
      <c r="Q71" s="34">
        <v>839.54021558432214</v>
      </c>
      <c r="R71" s="34">
        <v>713.87453101190602</v>
      </c>
      <c r="S71" s="44">
        <v>4.0837172874678265E-2</v>
      </c>
      <c r="T71" s="34">
        <v>26.439245050826571</v>
      </c>
      <c r="U71" s="34">
        <v>1345.6866105027709</v>
      </c>
      <c r="V71" s="34">
        <v>1737.2822111917706</v>
      </c>
      <c r="W71" s="34">
        <v>1.1797861572505646</v>
      </c>
      <c r="AB71" t="s">
        <v>4</v>
      </c>
      <c r="AD71" t="s">
        <v>8</v>
      </c>
    </row>
    <row r="72" spans="1:30">
      <c r="A72" s="43"/>
      <c r="AB72" t="s">
        <v>42</v>
      </c>
      <c r="AC72" t="s">
        <v>43</v>
      </c>
      <c r="AD72" t="s">
        <v>44</v>
      </c>
    </row>
    <row r="73" spans="1:30">
      <c r="D73" t="s">
        <v>34</v>
      </c>
      <c r="E73" s="4" t="s">
        <v>14</v>
      </c>
      <c r="N73" s="3" t="s">
        <v>41</v>
      </c>
      <c r="O73" s="40">
        <f t="array" ref="O73:W74">MMULT(O27:W28,O63:W71)</f>
        <v>2.2358096198307887E-5</v>
      </c>
      <c r="P73" s="40">
        <v>2.0292107756033646E-3</v>
      </c>
      <c r="Q73" s="40">
        <v>1.5435715137695346E-3</v>
      </c>
      <c r="R73" s="40">
        <v>1.5924909770243575E-3</v>
      </c>
      <c r="S73" s="110">
        <v>1.7317757278437826E-7</v>
      </c>
      <c r="T73" s="40">
        <v>3.0279586926285218E-5</v>
      </c>
      <c r="U73" s="40">
        <v>1.0255572524468192E-3</v>
      </c>
      <c r="V73" s="40">
        <v>1.3107335625338159E-3</v>
      </c>
      <c r="W73" s="40">
        <v>1.2437590605743437E-7</v>
      </c>
      <c r="Z73" t="s">
        <v>35</v>
      </c>
      <c r="AA73" t="s">
        <v>36</v>
      </c>
      <c r="AB73" s="42">
        <f>Q73*1000</f>
        <v>1.5435715137695345</v>
      </c>
      <c r="AC73" s="39">
        <f>R73*1000</f>
        <v>1.5924909770243574</v>
      </c>
      <c r="AD73" s="39">
        <f>V73*1000</f>
        <v>1.3107335625338159</v>
      </c>
    </row>
    <row r="74" spans="1:30">
      <c r="D74" t="s">
        <v>20</v>
      </c>
      <c r="E74" s="4" t="s">
        <v>13</v>
      </c>
      <c r="N74" s="3"/>
      <c r="O74" s="40">
        <v>5.9898515117470996E-3</v>
      </c>
      <c r="P74" s="40">
        <v>0.84789291545295353</v>
      </c>
      <c r="Q74" s="40">
        <v>1.6409605824155182</v>
      </c>
      <c r="R74" s="40">
        <v>1.107101137954877</v>
      </c>
      <c r="S74" s="110">
        <v>1.3926003678625557E-4</v>
      </c>
      <c r="T74" s="40">
        <v>1.7809030921016537E-2</v>
      </c>
      <c r="U74" s="40">
        <v>0.9294420126269054</v>
      </c>
      <c r="V74" s="40">
        <v>1.8684339311461173</v>
      </c>
      <c r="W74" s="40">
        <v>2.34709057426485E-4</v>
      </c>
      <c r="Z74" t="s">
        <v>20</v>
      </c>
      <c r="AA74" t="s">
        <v>37</v>
      </c>
      <c r="AB74" s="39">
        <f>Q74</f>
        <v>1.6409605824155182</v>
      </c>
      <c r="AC74" s="39">
        <f>R74</f>
        <v>1.107101137954877</v>
      </c>
      <c r="AD74" s="39">
        <f>V74</f>
        <v>1.8684339311461173</v>
      </c>
    </row>
  </sheetData>
  <hyperlinks>
    <hyperlink ref="Z63" r:id="rId1" xr:uid="{7D22ADF6-1DE8-9644-9B53-9B002E23DCB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1E16-2A08-0D4F-965A-1C55A7AE894B}">
  <dimension ref="A1:AL67"/>
  <sheetViews>
    <sheetView showGridLines="0" workbookViewId="0">
      <pane xSplit="5" ySplit="5" topLeftCell="F6" activePane="bottomRight" state="frozen"/>
      <selection activeCell="Z63" sqref="Z63"/>
      <selection pane="topRight" activeCell="Z63" sqref="Z63"/>
      <selection pane="bottomLeft" activeCell="Z63" sqref="Z63"/>
      <selection pane="bottomRight" activeCell="Z63" sqref="Z63"/>
    </sheetView>
  </sheetViews>
  <sheetFormatPr defaultColWidth="11.5546875" defaultRowHeight="14.4"/>
  <cols>
    <col min="1" max="1" width="6.6640625" bestFit="1" customWidth="1"/>
    <col min="2" max="2" width="11.44140625" bestFit="1" customWidth="1"/>
    <col min="3" max="3" width="10" customWidth="1"/>
    <col min="4" max="4" width="10.6640625" customWidth="1"/>
    <col min="5" max="5" width="7.33203125" customWidth="1"/>
    <col min="6" max="13" width="6.6640625" customWidth="1"/>
    <col min="14" max="14" width="3" customWidth="1"/>
    <col min="15" max="23" width="6.6640625" customWidth="1"/>
    <col min="24" max="24" width="7.6640625" customWidth="1"/>
    <col min="25" max="35" width="7.44140625" customWidth="1"/>
    <col min="36" max="37" width="12" customWidth="1"/>
    <col min="38" max="38" width="7.44140625" customWidth="1"/>
  </cols>
  <sheetData>
    <row r="1" spans="1:32">
      <c r="A1" s="6" t="s">
        <v>3</v>
      </c>
      <c r="B1" s="6"/>
      <c r="C1" s="6"/>
      <c r="D1" s="6"/>
      <c r="E1" s="6"/>
      <c r="F1" t="s">
        <v>4</v>
      </c>
      <c r="J1" t="s">
        <v>8</v>
      </c>
      <c r="O1" t="s">
        <v>4</v>
      </c>
      <c r="S1" t="s">
        <v>8</v>
      </c>
      <c r="Y1" t="s">
        <v>4</v>
      </c>
      <c r="Z1" t="s">
        <v>8</v>
      </c>
      <c r="AD1" t="s">
        <v>4</v>
      </c>
      <c r="AF1" t="s">
        <v>4</v>
      </c>
    </row>
    <row r="2" spans="1:32" ht="33" customHeight="1">
      <c r="A2" s="6"/>
      <c r="B2" s="6" t="s">
        <v>32</v>
      </c>
      <c r="C2" s="6"/>
      <c r="D2" s="6"/>
      <c r="E2" s="6"/>
      <c r="F2" s="5" t="s">
        <v>5</v>
      </c>
      <c r="G2" s="5" t="s">
        <v>6</v>
      </c>
      <c r="H2" s="5" t="s">
        <v>7</v>
      </c>
      <c r="I2" s="5" t="s">
        <v>2</v>
      </c>
      <c r="J2" s="5" t="s">
        <v>5</v>
      </c>
      <c r="K2" s="5" t="s">
        <v>6</v>
      </c>
      <c r="L2" s="5" t="s">
        <v>7</v>
      </c>
      <c r="M2" s="5" t="s">
        <v>2</v>
      </c>
      <c r="N2" s="5"/>
    </row>
    <row r="3" spans="1:32" ht="66.599999999999994">
      <c r="A3" s="6"/>
      <c r="B3" s="6"/>
      <c r="C3" s="6" t="s">
        <v>33</v>
      </c>
      <c r="D3" s="6"/>
      <c r="E3" s="6"/>
      <c r="O3" s="5" t="s">
        <v>6</v>
      </c>
      <c r="P3" s="5" t="s">
        <v>10</v>
      </c>
      <c r="Q3" s="5" t="s">
        <v>24</v>
      </c>
      <c r="R3" s="5" t="s">
        <v>26</v>
      </c>
      <c r="S3" s="5" t="s">
        <v>2</v>
      </c>
      <c r="T3" s="5" t="s">
        <v>6</v>
      </c>
      <c r="U3" s="5" t="s">
        <v>10</v>
      </c>
      <c r="V3" s="5" t="s">
        <v>25</v>
      </c>
      <c r="W3" s="5" t="s">
        <v>2</v>
      </c>
      <c r="Y3" s="5" t="s">
        <v>22</v>
      </c>
      <c r="Z3" s="5" t="s">
        <v>22</v>
      </c>
      <c r="AA3" s="5"/>
    </row>
    <row r="4" spans="1:32">
      <c r="A4" s="6"/>
      <c r="B4" s="6"/>
      <c r="C4" s="6"/>
      <c r="D4" s="7" t="s">
        <v>53</v>
      </c>
      <c r="E4" s="6"/>
    </row>
    <row r="5" spans="1:32">
      <c r="A5" s="6"/>
      <c r="B5" s="6"/>
      <c r="C5" s="6"/>
      <c r="D5" s="6"/>
      <c r="E5" s="6" t="s">
        <v>9</v>
      </c>
      <c r="F5" t="s">
        <v>13</v>
      </c>
      <c r="G5" t="s">
        <v>14</v>
      </c>
      <c r="H5" t="s">
        <v>13</v>
      </c>
      <c r="I5" t="s">
        <v>12</v>
      </c>
      <c r="J5" t="s">
        <v>13</v>
      </c>
      <c r="K5" t="s">
        <v>14</v>
      </c>
      <c r="L5" t="s">
        <v>13</v>
      </c>
      <c r="M5" t="s">
        <v>12</v>
      </c>
      <c r="O5" s="2" t="s">
        <v>11</v>
      </c>
      <c r="P5" s="2" t="s">
        <v>11</v>
      </c>
      <c r="Q5" s="2" t="s">
        <v>11</v>
      </c>
      <c r="R5" s="2" t="s">
        <v>11</v>
      </c>
      <c r="S5" s="2" t="s">
        <v>11</v>
      </c>
      <c r="T5" s="2" t="s">
        <v>11</v>
      </c>
      <c r="U5" s="2" t="s">
        <v>11</v>
      </c>
      <c r="V5" s="2" t="s">
        <v>11</v>
      </c>
    </row>
    <row r="6" spans="1:32">
      <c r="A6" s="36" t="s">
        <v>88</v>
      </c>
      <c r="B6" s="6"/>
      <c r="C6" s="6"/>
      <c r="D6" s="6"/>
      <c r="E6" s="6"/>
      <c r="O6" s="2"/>
      <c r="P6" s="2"/>
      <c r="Q6" s="2"/>
      <c r="R6" s="2"/>
      <c r="S6" s="2"/>
      <c r="T6" s="2"/>
      <c r="U6" s="2"/>
      <c r="V6" s="2"/>
      <c r="X6" s="114" t="s">
        <v>122</v>
      </c>
      <c r="Y6" s="114"/>
      <c r="Z6" s="114"/>
      <c r="AA6" s="85"/>
    </row>
    <row r="7" spans="1:32">
      <c r="X7" s="114"/>
      <c r="Y7" s="114"/>
      <c r="Z7" s="114"/>
      <c r="AA7" s="85"/>
      <c r="AB7" s="1" t="s">
        <v>28</v>
      </c>
      <c r="AD7" t="s">
        <v>87</v>
      </c>
      <c r="AF7" s="1" t="s">
        <v>89</v>
      </c>
    </row>
    <row r="8" spans="1:32">
      <c r="A8" t="s">
        <v>4</v>
      </c>
      <c r="B8" t="s">
        <v>5</v>
      </c>
      <c r="E8" t="s">
        <v>13</v>
      </c>
      <c r="N8" s="3" t="s">
        <v>15</v>
      </c>
      <c r="O8" s="24">
        <f t="array" ref="O8:W15">'Ex. 3a,b'!O8:W15</f>
        <v>3.5125779492936287E-3</v>
      </c>
      <c r="P8" s="24">
        <v>0.27055147676963526</v>
      </c>
      <c r="Q8" s="24">
        <v>0.15827162508874215</v>
      </c>
      <c r="R8" s="24">
        <v>0.12</v>
      </c>
      <c r="S8" s="25">
        <v>4.1115841657158798E-5</v>
      </c>
      <c r="T8" s="24">
        <v>8.1908449500277985E-5</v>
      </c>
      <c r="U8" s="24">
        <v>3.3905805890108824E-3</v>
      </c>
      <c r="V8" s="24">
        <v>3.9752338900787623E-3</v>
      </c>
      <c r="W8" s="24">
        <v>3.2484095634919501E-7</v>
      </c>
      <c r="Y8" s="86">
        <f>AF8+AD8</f>
        <v>837.54777745223998</v>
      </c>
      <c r="Z8" s="9">
        <f t="array" ref="Z8:Z15">'Ex. 3a,b'!Z8:Z15</f>
        <v>145.60866670548177</v>
      </c>
      <c r="AA8" s="15"/>
      <c r="AB8" s="16">
        <f t="shared" ref="AB8:AB15" si="0">SUM(Y8:Z8)</f>
        <v>983.15644415772181</v>
      </c>
      <c r="AD8" s="24">
        <v>2</v>
      </c>
      <c r="AF8" s="64">
        <f t="array" ref="AF8:AF15">'Ex. 3a,b'!Y8:Y15</f>
        <v>835.54777745223998</v>
      </c>
    </row>
    <row r="9" spans="1:32">
      <c r="B9" t="s">
        <v>6</v>
      </c>
      <c r="E9" t="s">
        <v>14</v>
      </c>
      <c r="O9" s="24">
        <v>4.5711092023886639E-6</v>
      </c>
      <c r="P9" s="24">
        <v>2.1778395399500096E-4</v>
      </c>
      <c r="Q9" s="24">
        <v>1.4460696673718849E-4</v>
      </c>
      <c r="R9" s="24">
        <v>1.4460696673718849E-4</v>
      </c>
      <c r="S9" s="25">
        <v>5.2547112481212482E-9</v>
      </c>
      <c r="T9" s="24">
        <v>1.4657736982926854E-7</v>
      </c>
      <c r="U9" s="24">
        <v>2.9643635201485096E-6</v>
      </c>
      <c r="V9" s="24">
        <v>2.0349831834856871E-6</v>
      </c>
      <c r="W9" s="24">
        <v>5.9382573677841501E-11</v>
      </c>
      <c r="Y9" s="86">
        <f>AF9+AD9</f>
        <v>8.6689306237507644</v>
      </c>
      <c r="Z9" s="9">
        <v>0.47106017948831502</v>
      </c>
      <c r="AA9" s="15"/>
      <c r="AB9" s="16">
        <f t="shared" si="0"/>
        <v>9.1399908032390798</v>
      </c>
      <c r="AD9" s="24">
        <v>0.5</v>
      </c>
      <c r="AF9" s="64">
        <v>8.1689306237507644</v>
      </c>
    </row>
    <row r="10" spans="1:32">
      <c r="B10" t="s">
        <v>7</v>
      </c>
      <c r="E10" t="s">
        <v>13</v>
      </c>
      <c r="O10" s="24">
        <v>1.1217512347926108E-5</v>
      </c>
      <c r="P10" s="24">
        <v>2.2327815820284484E-2</v>
      </c>
      <c r="Q10" s="24">
        <v>9.7684465828781222E-2</v>
      </c>
      <c r="R10" s="24">
        <v>9.7684465828781222E-2</v>
      </c>
      <c r="S10" s="25">
        <v>0</v>
      </c>
      <c r="T10" s="24">
        <v>3.0386983064855949E-6</v>
      </c>
      <c r="U10" s="24">
        <v>6.1167070108518364E-4</v>
      </c>
      <c r="V10" s="24">
        <v>3.3408951941073105E-3</v>
      </c>
      <c r="W10" s="24">
        <v>0</v>
      </c>
      <c r="Y10" s="86">
        <f>AF10+AD10</f>
        <v>2.0817989043338119</v>
      </c>
      <c r="Z10" s="9">
        <v>0.77720379530472494</v>
      </c>
      <c r="AA10" s="15"/>
      <c r="AB10" s="16">
        <f t="shared" si="0"/>
        <v>2.8590026996385367</v>
      </c>
      <c r="AD10" s="24">
        <v>0.1</v>
      </c>
      <c r="AF10" s="64">
        <v>1.981798904333812</v>
      </c>
    </row>
    <row r="11" spans="1:32">
      <c r="B11" t="s">
        <v>2</v>
      </c>
      <c r="E11" t="s">
        <v>12</v>
      </c>
      <c r="O11" s="26">
        <v>3.0778015177769711</v>
      </c>
      <c r="P11" s="26">
        <v>483.15055506033173</v>
      </c>
      <c r="Q11" s="26">
        <v>234.22695024215588</v>
      </c>
      <c r="R11" s="26">
        <v>300</v>
      </c>
      <c r="S11" s="27">
        <v>3.8828749371217115E-2</v>
      </c>
      <c r="T11" s="26">
        <v>2.6646337381623513E-2</v>
      </c>
      <c r="U11" s="26">
        <v>2.0564663648075712</v>
      </c>
      <c r="V11" s="26">
        <v>3.0057870070316599</v>
      </c>
      <c r="W11" s="26">
        <v>1.014030941430635E-6</v>
      </c>
      <c r="Y11" s="87">
        <f>AF11+AD11</f>
        <v>3454412.2918194081</v>
      </c>
      <c r="Z11" s="13">
        <v>83583.261411934014</v>
      </c>
      <c r="AA11" s="52"/>
      <c r="AB11" s="17">
        <f t="shared" si="0"/>
        <v>3537995.5532313422</v>
      </c>
      <c r="AD11" s="24">
        <v>3</v>
      </c>
      <c r="AF11" s="64">
        <v>3454409.2918194081</v>
      </c>
    </row>
    <row r="12" spans="1:32">
      <c r="A12" t="s">
        <v>8</v>
      </c>
      <c r="B12" t="s">
        <v>5</v>
      </c>
      <c r="E12" t="s">
        <v>13</v>
      </c>
      <c r="O12" s="24">
        <v>3.9488973072122864E-4</v>
      </c>
      <c r="P12" s="24">
        <v>0.13987704970409229</v>
      </c>
      <c r="Q12" s="24">
        <v>0.51737763554589511</v>
      </c>
      <c r="R12" s="24">
        <v>0.4</v>
      </c>
      <c r="S12" s="25">
        <v>1.2466997366732116E-5</v>
      </c>
      <c r="T12" s="24">
        <v>1.2049567506561484E-2</v>
      </c>
      <c r="U12" s="24">
        <v>0.32560213310586744</v>
      </c>
      <c r="V12" s="24">
        <v>0.549940514603386</v>
      </c>
      <c r="W12" s="24">
        <v>6.981505861539915E-5</v>
      </c>
      <c r="Y12" s="86">
        <f>AF12</f>
        <v>585.7878886264366</v>
      </c>
      <c r="Z12" s="9">
        <v>7478.1972541558725</v>
      </c>
      <c r="AA12" s="15"/>
      <c r="AB12" s="16">
        <f t="shared" si="0"/>
        <v>8063.9851427823087</v>
      </c>
      <c r="AF12" s="64">
        <v>585.7878886264366</v>
      </c>
    </row>
    <row r="13" spans="1:32">
      <c r="B13" t="s">
        <v>6</v>
      </c>
      <c r="E13" t="s">
        <v>14</v>
      </c>
      <c r="F13" s="8"/>
      <c r="O13" s="24">
        <v>3.1023561720495332E-7</v>
      </c>
      <c r="P13" s="24">
        <v>1.7648369730282666E-5</v>
      </c>
      <c r="Q13" s="24">
        <v>9.8309998879296497E-6</v>
      </c>
      <c r="R13" s="24">
        <v>9.8309998879296497E-6</v>
      </c>
      <c r="S13" s="25">
        <v>4.1399413888669278E-10</v>
      </c>
      <c r="T13" s="24">
        <v>5.8021191434317627E-6</v>
      </c>
      <c r="U13" s="24">
        <v>8.7224283068274662E-5</v>
      </c>
      <c r="V13" s="24">
        <v>6.5546676671697596E-5</v>
      </c>
      <c r="W13" s="24">
        <v>1.8183213575593468E-9</v>
      </c>
      <c r="Y13" s="86">
        <f t="shared" ref="Y13:Y15" si="1">AF13</f>
        <v>0.317073594229689</v>
      </c>
      <c r="Z13" s="9">
        <v>30.342104790585111</v>
      </c>
      <c r="AA13" s="15"/>
      <c r="AB13" s="16">
        <f t="shared" si="0"/>
        <v>30.659178384814801</v>
      </c>
      <c r="AF13" s="64">
        <v>0.317073594229689</v>
      </c>
    </row>
    <row r="14" spans="1:32">
      <c r="B14" t="s">
        <v>7</v>
      </c>
      <c r="E14" t="s">
        <v>13</v>
      </c>
      <c r="O14" s="24">
        <v>6.0084533875747827E-6</v>
      </c>
      <c r="P14" s="24">
        <v>7.9615616779039923E-3</v>
      </c>
      <c r="Q14" s="24">
        <v>1.7867083538980769E-2</v>
      </c>
      <c r="R14" s="24">
        <v>1.7867083538980769E-2</v>
      </c>
      <c r="S14" s="25">
        <v>0</v>
      </c>
      <c r="T14" s="24">
        <v>7.9322197621690507E-5</v>
      </c>
      <c r="U14" s="24">
        <v>1.8865912376892675E-2</v>
      </c>
      <c r="V14" s="24">
        <v>0.24692995099546847</v>
      </c>
      <c r="W14" s="24">
        <v>0</v>
      </c>
      <c r="Y14" s="86">
        <f t="shared" si="1"/>
        <v>0.60543500175889631</v>
      </c>
      <c r="Z14" s="9">
        <v>38.459046745641096</v>
      </c>
      <c r="AA14" s="15"/>
      <c r="AB14" s="16">
        <f t="shared" si="0"/>
        <v>39.064481747399995</v>
      </c>
      <c r="AF14" s="64">
        <v>0.60543500175889631</v>
      </c>
    </row>
    <row r="15" spans="1:32">
      <c r="B15" t="s">
        <v>2</v>
      </c>
      <c r="E15" t="s">
        <v>12</v>
      </c>
      <c r="O15" s="24">
        <v>5.230796074256689E-2</v>
      </c>
      <c r="P15" s="24">
        <v>10.312563277757455</v>
      </c>
      <c r="Q15" s="24">
        <v>3.1295127164837244</v>
      </c>
      <c r="R15" s="24">
        <v>5</v>
      </c>
      <c r="S15" s="25">
        <v>7.1287164987785846E-6</v>
      </c>
      <c r="T15" s="24">
        <v>6.0507066940309961</v>
      </c>
      <c r="U15" s="24">
        <v>455.66801695364074</v>
      </c>
      <c r="V15" s="24">
        <v>327.02020105141429</v>
      </c>
      <c r="W15" s="24">
        <v>4.8434762681373707E-2</v>
      </c>
      <c r="Y15" s="86">
        <f t="shared" si="1"/>
        <v>50504.880188880001</v>
      </c>
      <c r="Z15" s="9">
        <v>20969440.147819322</v>
      </c>
      <c r="AA15" s="15"/>
      <c r="AB15" s="16">
        <f t="shared" si="0"/>
        <v>21019945.0280082</v>
      </c>
      <c r="AF15" s="64">
        <v>50504.880188880001</v>
      </c>
    </row>
    <row r="16" spans="1:32">
      <c r="F16" s="1" t="s">
        <v>90</v>
      </c>
      <c r="O16" s="15"/>
      <c r="P16" s="15"/>
      <c r="Q16" s="15"/>
      <c r="R16" s="15"/>
      <c r="S16" s="15"/>
      <c r="T16" s="15"/>
      <c r="U16" s="15"/>
      <c r="V16" s="15"/>
      <c r="W16" s="15"/>
      <c r="Y16" s="15"/>
      <c r="Z16" s="15"/>
      <c r="AA16" s="15"/>
      <c r="AF16" s="41"/>
    </row>
    <row r="17" spans="1:29">
      <c r="A17" t="s">
        <v>4</v>
      </c>
      <c r="C17" t="s">
        <v>6</v>
      </c>
      <c r="E17" s="4" t="s">
        <v>11</v>
      </c>
      <c r="F17" s="24">
        <f>'Ex. 3a,b'!F17</f>
        <v>0.18943246131958499</v>
      </c>
      <c r="G17" s="24">
        <f>'Ex. 3a,b'!G17</f>
        <v>0.93981212419226612</v>
      </c>
      <c r="H17" s="24">
        <f>'Ex. 3a,b'!H17</f>
        <v>0</v>
      </c>
      <c r="I17" s="25">
        <f>'Ex. 3a,b'!I17</f>
        <v>9.1786104551479536E-2</v>
      </c>
      <c r="J17" s="24">
        <f>'Ex. 3a,b'!J17</f>
        <v>0</v>
      </c>
      <c r="K17" s="24">
        <f>'Ex. 3a,b'!K17</f>
        <v>0</v>
      </c>
      <c r="L17" s="24">
        <f>'Ex. 3a,b'!L17</f>
        <v>0</v>
      </c>
      <c r="M17" s="24">
        <f>'Ex. 3a,b'!M17</f>
        <v>0</v>
      </c>
      <c r="O17" s="15"/>
      <c r="P17" s="15"/>
      <c r="Q17" s="15"/>
      <c r="R17" s="15"/>
      <c r="S17" s="15"/>
      <c r="T17" s="15"/>
      <c r="U17" s="15"/>
      <c r="V17" s="15"/>
      <c r="W17" s="15"/>
    </row>
    <row r="18" spans="1:29">
      <c r="C18" t="s">
        <v>10</v>
      </c>
      <c r="E18" s="4" t="s">
        <v>11</v>
      </c>
      <c r="F18" s="24">
        <f>'Ex. 3a,b'!F18</f>
        <v>0.81056753868041498</v>
      </c>
      <c r="G18" s="24">
        <f>'Ex. 3a,b'!G18</f>
        <v>6.0187875807733854E-2</v>
      </c>
      <c r="H18" s="24">
        <f>'Ex. 3a,b'!H18</f>
        <v>0</v>
      </c>
      <c r="I18" s="25">
        <f>'Ex. 3a,b'!I18</f>
        <v>0</v>
      </c>
      <c r="J18" s="24">
        <f>'Ex. 3a,b'!J18</f>
        <v>0</v>
      </c>
      <c r="K18" s="24">
        <f>'Ex. 3a,b'!K18</f>
        <v>0</v>
      </c>
      <c r="L18" s="24">
        <f>'Ex. 3a,b'!L18</f>
        <v>0</v>
      </c>
      <c r="M18" s="24">
        <f>'Ex. 3a,b'!M18</f>
        <v>0</v>
      </c>
      <c r="O18" s="15"/>
      <c r="P18" s="15"/>
      <c r="Q18" s="15"/>
      <c r="R18" s="15"/>
      <c r="S18" s="15"/>
      <c r="T18" s="15"/>
      <c r="U18" s="15"/>
      <c r="V18" s="15"/>
      <c r="W18" s="15"/>
    </row>
    <row r="19" spans="1:29">
      <c r="C19" t="s">
        <v>24</v>
      </c>
      <c r="E19" s="4" t="s">
        <v>11</v>
      </c>
      <c r="F19" s="24">
        <f>'Ex. 3a,b'!F19</f>
        <v>0</v>
      </c>
      <c r="G19" s="24">
        <f>'Ex. 3a,b'!G19</f>
        <v>0</v>
      </c>
      <c r="H19" s="30">
        <f>1-H20</f>
        <v>0.6</v>
      </c>
      <c r="I19" s="25">
        <f>'Ex. 3a,b'!I19</f>
        <v>0</v>
      </c>
      <c r="J19" s="24">
        <f>'Ex. 3a,b'!J19</f>
        <v>0</v>
      </c>
      <c r="K19" s="24">
        <f>'Ex. 3a,b'!K19</f>
        <v>0</v>
      </c>
      <c r="L19" s="24">
        <f>'Ex. 3a,b'!L19</f>
        <v>0</v>
      </c>
      <c r="M19" s="24">
        <f>'Ex. 3a,b'!M19</f>
        <v>0</v>
      </c>
      <c r="O19" s="15"/>
      <c r="P19" s="15"/>
      <c r="Q19" s="15"/>
      <c r="R19" s="15"/>
      <c r="S19" s="15"/>
      <c r="T19" s="15"/>
      <c r="U19" s="15"/>
      <c r="V19" s="15"/>
      <c r="W19" s="15"/>
    </row>
    <row r="20" spans="1:29">
      <c r="C20" t="s">
        <v>26</v>
      </c>
      <c r="E20" s="4" t="s">
        <v>11</v>
      </c>
      <c r="F20" s="24">
        <f>'Ex. 3a,b'!F20</f>
        <v>0</v>
      </c>
      <c r="G20" s="24">
        <f>'Ex. 3a,b'!G20</f>
        <v>0</v>
      </c>
      <c r="H20" s="30">
        <v>0.4</v>
      </c>
      <c r="I20" s="25">
        <f>'Ex. 3a,b'!I20</f>
        <v>0</v>
      </c>
      <c r="J20" s="24">
        <f>'Ex. 3a,b'!J20</f>
        <v>0</v>
      </c>
      <c r="K20" s="24">
        <f>'Ex. 3a,b'!K20</f>
        <v>0</v>
      </c>
      <c r="L20" s="24">
        <f>'Ex. 3a,b'!L20</f>
        <v>0</v>
      </c>
      <c r="M20" s="24">
        <f>'Ex. 3a,b'!M20</f>
        <v>0</v>
      </c>
      <c r="O20" s="15"/>
      <c r="P20" s="15"/>
      <c r="Q20" s="15"/>
      <c r="R20" s="15"/>
      <c r="S20" s="15"/>
      <c r="T20" s="15"/>
      <c r="U20" s="15"/>
      <c r="V20" s="15"/>
      <c r="W20" s="15"/>
    </row>
    <row r="21" spans="1:29">
      <c r="C21" t="s">
        <v>2</v>
      </c>
      <c r="E21" s="4" t="s">
        <v>11</v>
      </c>
      <c r="F21" s="26">
        <f>'Ex. 3a,b'!F21</f>
        <v>0</v>
      </c>
      <c r="G21" s="26">
        <f>'Ex. 3a,b'!G21</f>
        <v>0</v>
      </c>
      <c r="H21" s="26">
        <f>'Ex. 3a,b'!H21</f>
        <v>0</v>
      </c>
      <c r="I21" s="27">
        <f>'Ex. 3a,b'!I21</f>
        <v>0.90821389544852049</v>
      </c>
      <c r="J21" s="26">
        <f>'Ex. 3a,b'!J21</f>
        <v>0</v>
      </c>
      <c r="K21" s="26">
        <f>'Ex. 3a,b'!K21</f>
        <v>0</v>
      </c>
      <c r="L21" s="26">
        <f>'Ex. 3a,b'!L21</f>
        <v>0</v>
      </c>
      <c r="M21" s="26">
        <f>'Ex. 3a,b'!M21</f>
        <v>0</v>
      </c>
      <c r="O21" s="15"/>
      <c r="P21" s="15"/>
      <c r="Q21" s="15"/>
      <c r="R21" s="15"/>
      <c r="S21" s="15"/>
      <c r="T21" s="15"/>
      <c r="U21" s="15"/>
      <c r="V21" s="15"/>
      <c r="W21" s="15"/>
    </row>
    <row r="22" spans="1:29">
      <c r="A22" t="s">
        <v>8</v>
      </c>
      <c r="C22" t="s">
        <v>6</v>
      </c>
      <c r="E22" s="4" t="s">
        <v>11</v>
      </c>
      <c r="F22" s="24">
        <f>'Ex. 3a,b'!F22</f>
        <v>0</v>
      </c>
      <c r="G22" s="24">
        <f>'Ex. 3a,b'!G22</f>
        <v>0</v>
      </c>
      <c r="H22" s="24">
        <f>'Ex. 3a,b'!H22</f>
        <v>0</v>
      </c>
      <c r="I22" s="25">
        <f>'Ex. 3a,b'!I22</f>
        <v>0</v>
      </c>
      <c r="J22" s="24">
        <f>'Ex. 3a,b'!J22</f>
        <v>0.15854982659498015</v>
      </c>
      <c r="K22" s="24">
        <f>'Ex. 3a,b'!K22</f>
        <v>0.94030067349529989</v>
      </c>
      <c r="L22" s="24">
        <f>'Ex. 3a,b'!L22</f>
        <v>0</v>
      </c>
      <c r="M22" s="24">
        <f>'Ex. 3a,b'!M22</f>
        <v>3.472103824395692E-2</v>
      </c>
      <c r="O22" s="15"/>
      <c r="P22" s="15"/>
      <c r="Q22" s="15"/>
      <c r="R22" s="15"/>
      <c r="S22" s="15"/>
      <c r="T22" s="15"/>
      <c r="U22" s="15"/>
      <c r="V22" s="15"/>
      <c r="W22" s="15"/>
    </row>
    <row r="23" spans="1:29">
      <c r="C23" t="s">
        <v>10</v>
      </c>
      <c r="E23" s="4" t="s">
        <v>11</v>
      </c>
      <c r="F23" s="24">
        <f>'Ex. 3a,b'!F23</f>
        <v>0</v>
      </c>
      <c r="G23" s="24">
        <f>'Ex. 3a,b'!G23</f>
        <v>0</v>
      </c>
      <c r="H23" s="24">
        <f>'Ex. 3a,b'!H23</f>
        <v>0</v>
      </c>
      <c r="I23" s="25">
        <f>'Ex. 3a,b'!I23</f>
        <v>0</v>
      </c>
      <c r="J23" s="24">
        <f>'Ex. 3a,b'!J23</f>
        <v>0.81519142001552447</v>
      </c>
      <c r="K23" s="24">
        <f>'Ex. 3a,b'!K23</f>
        <v>5.9699326504700174E-2</v>
      </c>
      <c r="L23" s="24">
        <f>'Ex. 3a,b'!L23</f>
        <v>0</v>
      </c>
      <c r="M23" s="24">
        <f>'Ex. 3a,b'!M23</f>
        <v>0</v>
      </c>
      <c r="O23" s="15"/>
      <c r="P23" s="15"/>
      <c r="Q23" s="15"/>
      <c r="R23" s="15"/>
      <c r="S23" s="15"/>
      <c r="T23" s="15"/>
      <c r="U23" s="15"/>
      <c r="V23" s="15"/>
      <c r="W23" s="15"/>
    </row>
    <row r="24" spans="1:29">
      <c r="C24" t="s">
        <v>25</v>
      </c>
      <c r="E24" s="4" t="s">
        <v>11</v>
      </c>
      <c r="F24" s="24">
        <f>'Ex. 3a,b'!F24</f>
        <v>0</v>
      </c>
      <c r="G24" s="24">
        <f>'Ex. 3a,b'!G24</f>
        <v>0</v>
      </c>
      <c r="H24" s="24">
        <f>'Ex. 3a,b'!H24</f>
        <v>0</v>
      </c>
      <c r="I24" s="25">
        <f>'Ex. 3a,b'!I24</f>
        <v>0</v>
      </c>
      <c r="J24" s="24">
        <f>'Ex. 3a,b'!J24</f>
        <v>2.6092893080269894E-2</v>
      </c>
      <c r="K24" s="24">
        <f>'Ex. 3a,b'!K24</f>
        <v>0</v>
      </c>
      <c r="L24" s="24">
        <f>'Ex. 3a,b'!L24</f>
        <v>1</v>
      </c>
      <c r="M24" s="24">
        <f>'Ex. 3a,b'!M24</f>
        <v>0</v>
      </c>
      <c r="O24" s="15"/>
      <c r="P24" s="15"/>
      <c r="Q24" s="15"/>
      <c r="R24" s="15"/>
      <c r="S24" s="15"/>
      <c r="T24" s="15"/>
      <c r="U24" s="15"/>
      <c r="V24" s="15"/>
      <c r="W24" s="15"/>
    </row>
    <row r="25" spans="1:29">
      <c r="C25" t="s">
        <v>2</v>
      </c>
      <c r="E25" s="4" t="s">
        <v>11</v>
      </c>
      <c r="F25" s="24">
        <f>'Ex. 3a,b'!F25</f>
        <v>0</v>
      </c>
      <c r="G25" s="24">
        <f>'Ex. 3a,b'!G25</f>
        <v>0</v>
      </c>
      <c r="H25" s="24">
        <f>'Ex. 3a,b'!H25</f>
        <v>0</v>
      </c>
      <c r="I25" s="25">
        <f>'Ex. 3a,b'!I25</f>
        <v>0</v>
      </c>
      <c r="J25" s="24">
        <f>'Ex. 3a,b'!J25</f>
        <v>1.6586030922548941E-4</v>
      </c>
      <c r="K25" s="24">
        <f>'Ex. 3a,b'!K25</f>
        <v>0</v>
      </c>
      <c r="L25" s="24">
        <f>'Ex. 3a,b'!L25</f>
        <v>0</v>
      </c>
      <c r="M25" s="24">
        <f>'Ex. 3a,b'!M25</f>
        <v>0.96527896175604311</v>
      </c>
      <c r="O25" s="15"/>
      <c r="P25" s="15"/>
      <c r="Q25" s="15"/>
      <c r="R25" s="15"/>
      <c r="S25" s="15"/>
      <c r="T25" s="15"/>
      <c r="U25" s="15"/>
      <c r="V25" s="15"/>
      <c r="W25" s="15"/>
    </row>
    <row r="26" spans="1:29">
      <c r="E26" s="4"/>
      <c r="F26" s="41"/>
      <c r="G26" s="41"/>
      <c r="H26" s="41"/>
      <c r="I26" s="41"/>
      <c r="J26" s="41"/>
      <c r="K26" s="41"/>
      <c r="L26" s="41"/>
      <c r="M26" s="41"/>
      <c r="O26" s="15"/>
      <c r="P26" s="15"/>
      <c r="Q26" s="15"/>
      <c r="R26" s="15"/>
      <c r="S26" s="15"/>
      <c r="T26" s="15"/>
      <c r="U26" s="15"/>
      <c r="V26" s="15"/>
      <c r="W26" s="15"/>
    </row>
    <row r="27" spans="1:29">
      <c r="D27" t="s">
        <v>19</v>
      </c>
      <c r="E27" s="4" t="s">
        <v>14</v>
      </c>
      <c r="N27" s="3" t="s">
        <v>17</v>
      </c>
      <c r="O27" s="28">
        <f t="array" ref="O27:W28">'Ex. 3a,b'!O27:W28</f>
        <v>9.3327695761945131E-6</v>
      </c>
      <c r="P27" s="28">
        <v>3.3615484145128579E-4</v>
      </c>
      <c r="Q27" s="28">
        <v>1.3445362184646243E-4</v>
      </c>
      <c r="R27" s="28">
        <v>2.0168043276969365E-4</v>
      </c>
      <c r="S27" s="29">
        <v>8.6675066079306092E-9</v>
      </c>
      <c r="T27" s="28">
        <v>1.2344967084705986E-5</v>
      </c>
      <c r="U27" s="28">
        <v>1.7106332166412003E-4</v>
      </c>
      <c r="V27" s="28">
        <v>1.0443155448320794E-4</v>
      </c>
      <c r="W27" s="28">
        <v>6.0114500745619698E-9</v>
      </c>
      <c r="Y27" s="1" t="s">
        <v>23</v>
      </c>
    </row>
    <row r="28" spans="1:29">
      <c r="D28" t="s">
        <v>20</v>
      </c>
      <c r="E28" s="4" t="s">
        <v>13</v>
      </c>
      <c r="N28" s="3" t="s">
        <v>18</v>
      </c>
      <c r="O28" s="28">
        <v>1.0966822285952847E-3</v>
      </c>
      <c r="P28" s="28">
        <v>0.16146899044461541</v>
      </c>
      <c r="Q28" s="28">
        <v>0.75858536787205477</v>
      </c>
      <c r="R28" s="28">
        <v>0.3</v>
      </c>
      <c r="S28" s="29">
        <v>7.460180323602862E-5</v>
      </c>
      <c r="T28" s="28">
        <v>2.7176049594627937E-3</v>
      </c>
      <c r="U28" s="28">
        <v>0.24096642889606007</v>
      </c>
      <c r="V28" s="28">
        <v>0.67546413592501253</v>
      </c>
      <c r="W28" s="28">
        <v>1.3706389434075023E-4</v>
      </c>
      <c r="Y28" s="12">
        <f t="array" ref="Y28:Z28">'Ex. 3a,b'!Y28:Z28</f>
        <v>796.06386428400185</v>
      </c>
      <c r="Z28" s="10">
        <v>3424.6898600358227</v>
      </c>
      <c r="AA28" s="53"/>
    </row>
    <row r="30" spans="1:29">
      <c r="F30" t="s">
        <v>38</v>
      </c>
      <c r="O30" s="1" t="s">
        <v>27</v>
      </c>
      <c r="AB30" s="1" t="s">
        <v>29</v>
      </c>
    </row>
    <row r="31" spans="1:29">
      <c r="A31" t="s">
        <v>4</v>
      </c>
      <c r="B31" t="s">
        <v>5</v>
      </c>
      <c r="E31" t="s">
        <v>13</v>
      </c>
      <c r="F31" s="35">
        <f t="array" ref="F31:M38">MINVERSE(_xlfn.MUNIT(8)-MMULT(O8:W15,F17:M25))</f>
        <v>1.7699812800239545</v>
      </c>
      <c r="G31" s="35">
        <v>6.5613507954190367E-2</v>
      </c>
      <c r="H31" s="35">
        <v>0.56444120951920784</v>
      </c>
      <c r="I31" s="35">
        <v>9.3612782437755648E-4</v>
      </c>
      <c r="J31" s="35">
        <v>2.4385486950819005E-2</v>
      </c>
      <c r="K31" s="35">
        <v>2.2767008724980152E-3</v>
      </c>
      <c r="L31" s="35">
        <v>4.4192329805450591E-2</v>
      </c>
      <c r="M31" s="35">
        <v>2.4871370655906165E-5</v>
      </c>
      <c r="O31" s="18">
        <f t="array" ref="O31:W38">MMULT(O8:W15,_xlfn.MUNIT(9)*AB40:AB48)</f>
        <v>2838.5574234365172</v>
      </c>
      <c r="P31" s="18">
        <v>1266.8313263922078</v>
      </c>
      <c r="Q31" s="18">
        <v>16.730385290256681</v>
      </c>
      <c r="R31" s="18">
        <v>8.4565431262241901</v>
      </c>
      <c r="S31" s="19">
        <v>328.31933888992199</v>
      </c>
      <c r="T31" s="18">
        <v>159.60215174342542</v>
      </c>
      <c r="U31" s="18">
        <v>143.80658007856732</v>
      </c>
      <c r="V31" s="18">
        <v>12.65082380117815</v>
      </c>
      <c r="W31" s="18">
        <v>17.522210952302139</v>
      </c>
      <c r="AB31" s="16">
        <f t="array" ref="AB31:AB38">MMULT(F31:M38,AB8:AB15)</f>
        <v>5775.6332278676018</v>
      </c>
      <c r="AC31" s="8"/>
    </row>
    <row r="32" spans="1:29">
      <c r="B32" t="s">
        <v>6</v>
      </c>
      <c r="E32" t="s">
        <v>14</v>
      </c>
      <c r="F32" s="35">
        <v>7.6191840636147181E-4</v>
      </c>
      <c r="G32" s="35">
        <v>1.0000662278435462</v>
      </c>
      <c r="H32" s="35">
        <v>5.9211311195012247E-4</v>
      </c>
      <c r="I32" s="35">
        <v>1.0267433219232373E-6</v>
      </c>
      <c r="J32" s="35">
        <v>2.6166814196570811E-5</v>
      </c>
      <c r="K32" s="35">
        <v>2.5093178144723118E-6</v>
      </c>
      <c r="L32" s="35">
        <v>4.5063848671905238E-5</v>
      </c>
      <c r="M32" s="35">
        <v>2.879821351104894E-8</v>
      </c>
      <c r="O32" s="18">
        <v>3.693969542338166</v>
      </c>
      <c r="P32" s="18">
        <v>1.0197524648565923</v>
      </c>
      <c r="Q32" s="18">
        <v>1.5285938132068766E-2</v>
      </c>
      <c r="R32" s="18">
        <v>1.019062542137918E-2</v>
      </c>
      <c r="S32" s="19">
        <v>4.1960063408801013E-2</v>
      </c>
      <c r="T32" s="18">
        <v>0.28561233626530447</v>
      </c>
      <c r="U32" s="18">
        <v>0.12572919851068379</v>
      </c>
      <c r="V32" s="18">
        <v>6.4761506881115712E-3</v>
      </c>
      <c r="W32" s="18">
        <v>3.2031489950277063E-3</v>
      </c>
      <c r="AB32" s="16">
        <v>14.342170271855212</v>
      </c>
    </row>
    <row r="33" spans="1:28">
      <c r="B33" t="s">
        <v>7</v>
      </c>
      <c r="E33" t="s">
        <v>13</v>
      </c>
      <c r="F33" s="35">
        <v>3.7297412308104703E-2</v>
      </c>
      <c r="G33" s="35">
        <v>2.964827855633147E-3</v>
      </c>
      <c r="H33" s="35">
        <v>1.1217951345711918</v>
      </c>
      <c r="I33" s="35">
        <v>2.1547827169730994E-5</v>
      </c>
      <c r="J33" s="35">
        <v>2.379010699596896E-3</v>
      </c>
      <c r="K33" s="35">
        <v>2.0382713419767713E-4</v>
      </c>
      <c r="L33" s="35">
        <v>7.8344648657279921E-3</v>
      </c>
      <c r="M33" s="35">
        <v>1.92872790757027E-6</v>
      </c>
      <c r="O33" s="18">
        <v>9.0650096331953893</v>
      </c>
      <c r="P33" s="18">
        <v>104.54785488062981</v>
      </c>
      <c r="Q33" s="18">
        <v>10.32591122554077</v>
      </c>
      <c r="R33" s="18">
        <v>6.883940817027181</v>
      </c>
      <c r="S33" s="19">
        <v>0</v>
      </c>
      <c r="T33" s="18">
        <v>5.9210349014427113</v>
      </c>
      <c r="U33" s="18">
        <v>25.9431296051219</v>
      </c>
      <c r="V33" s="18">
        <v>10.632098036882317</v>
      </c>
      <c r="W33" s="18">
        <v>0</v>
      </c>
      <c r="AB33" s="16">
        <v>176.17798179633729</v>
      </c>
    </row>
    <row r="34" spans="1:28">
      <c r="B34" t="s">
        <v>2</v>
      </c>
      <c r="E34" t="s">
        <v>12</v>
      </c>
      <c r="F34" s="16">
        <v>1034.1996543565936</v>
      </c>
      <c r="G34" s="16">
        <v>85.912880092685668</v>
      </c>
      <c r="H34" s="16">
        <v>758.18304843950978</v>
      </c>
      <c r="I34" s="16">
        <v>2.0140776134030136</v>
      </c>
      <c r="J34" s="16">
        <v>22.666011487195146</v>
      </c>
      <c r="K34" s="16">
        <v>2.0888462793212406</v>
      </c>
      <c r="L34" s="16">
        <v>42.962513390147635</v>
      </c>
      <c r="M34" s="16">
        <v>2.1987719205388081E-2</v>
      </c>
      <c r="O34" s="20">
        <v>2487209.2441128301</v>
      </c>
      <c r="P34" s="20">
        <v>2262306.1083320831</v>
      </c>
      <c r="Q34" s="20">
        <v>24759.378825584481</v>
      </c>
      <c r="R34" s="20">
        <v>21141.357815560477</v>
      </c>
      <c r="S34" s="21">
        <v>310056.38726261724</v>
      </c>
      <c r="T34" s="20">
        <v>51921.539330004678</v>
      </c>
      <c r="U34" s="20">
        <v>87222.051564877591</v>
      </c>
      <c r="V34" s="20">
        <v>9565.6464151030741</v>
      </c>
      <c r="W34" s="20">
        <v>54.697733523506024</v>
      </c>
      <c r="AB34" s="17">
        <v>8792231.9646235257</v>
      </c>
    </row>
    <row r="35" spans="1:28">
      <c r="A35" t="s">
        <v>8</v>
      </c>
      <c r="B35" t="s">
        <v>5</v>
      </c>
      <c r="E35" t="s">
        <v>13</v>
      </c>
      <c r="F35" s="35">
        <v>0.65859871296755468</v>
      </c>
      <c r="G35" s="35">
        <v>5.3449617564089551E-2</v>
      </c>
      <c r="H35" s="35">
        <v>1.4823985425368122</v>
      </c>
      <c r="I35" s="35">
        <v>5.1918588312661537E-4</v>
      </c>
      <c r="J35" s="35">
        <v>2.2558447239069701</v>
      </c>
      <c r="K35" s="35">
        <v>0.12140073831886956</v>
      </c>
      <c r="L35" s="35">
        <v>2.3051238643258554</v>
      </c>
      <c r="M35" s="35">
        <v>1.4867585583993028E-3</v>
      </c>
      <c r="O35" s="18">
        <v>319.11524605539495</v>
      </c>
      <c r="P35" s="18">
        <v>654.96086188191055</v>
      </c>
      <c r="Q35" s="18">
        <v>54.690328594222038</v>
      </c>
      <c r="R35" s="18">
        <v>28.188477087413972</v>
      </c>
      <c r="S35" s="19">
        <v>99.551807002234028</v>
      </c>
      <c r="T35" s="18">
        <v>23479.102746516372</v>
      </c>
      <c r="U35" s="18">
        <v>13809.944344045491</v>
      </c>
      <c r="V35" s="18">
        <v>1750.1361539355439</v>
      </c>
      <c r="W35" s="18">
        <v>3765.8865386153275</v>
      </c>
      <c r="AB35" s="16">
        <v>52025.561646517861</v>
      </c>
    </row>
    <row r="36" spans="1:28">
      <c r="B36" t="s">
        <v>6</v>
      </c>
      <c r="E36" t="s">
        <v>14</v>
      </c>
      <c r="F36" s="35">
        <v>1.8402959861603366E-4</v>
      </c>
      <c r="G36" s="35">
        <v>1.5227963292115759E-5</v>
      </c>
      <c r="H36" s="35">
        <v>3.2029817142793804E-4</v>
      </c>
      <c r="I36" s="35">
        <v>1.7300402560932677E-7</v>
      </c>
      <c r="J36" s="35">
        <v>4.132959884059659E-4</v>
      </c>
      <c r="K36" s="35">
        <v>1.0000422169397929</v>
      </c>
      <c r="L36" s="35">
        <v>6.2946654603457104E-4</v>
      </c>
      <c r="M36" s="35">
        <v>5.4697863353635864E-7</v>
      </c>
      <c r="O36" s="18">
        <v>0.250705216209827</v>
      </c>
      <c r="P36" s="18">
        <v>8.2636797629128025E-2</v>
      </c>
      <c r="Q36" s="18">
        <v>1.0392034315772783E-3</v>
      </c>
      <c r="R36" s="18">
        <v>6.9280228771818561E-4</v>
      </c>
      <c r="S36" s="19">
        <v>3.3058372759813296E-3</v>
      </c>
      <c r="T36" s="18">
        <v>11.305679763359297</v>
      </c>
      <c r="U36" s="18">
        <v>3.6994920246130167</v>
      </c>
      <c r="V36" s="18">
        <v>0.2085963946413254</v>
      </c>
      <c r="W36" s="18">
        <v>9.808187601806459E-2</v>
      </c>
      <c r="AB36" s="16">
        <v>46.309408300280751</v>
      </c>
    </row>
    <row r="37" spans="1:28">
      <c r="B37" t="s">
        <v>7</v>
      </c>
      <c r="E37" t="s">
        <v>13</v>
      </c>
      <c r="F37" s="35">
        <v>3.7302158106456908E-2</v>
      </c>
      <c r="G37" s="35">
        <v>3.0023883465036582E-3</v>
      </c>
      <c r="H37" s="35">
        <v>7.7958107929766124E-2</v>
      </c>
      <c r="I37" s="35">
        <v>2.6166347867435358E-5</v>
      </c>
      <c r="J37" s="35">
        <v>7.003365248471799E-2</v>
      </c>
      <c r="K37" s="35">
        <v>5.5390853513126405E-3</v>
      </c>
      <c r="L37" s="35">
        <v>1.4019118689970473</v>
      </c>
      <c r="M37" s="35">
        <v>5.1176479699858543E-5</v>
      </c>
      <c r="O37" s="18">
        <v>4.8555050486787001</v>
      </c>
      <c r="P37" s="18">
        <v>37.279248522307313</v>
      </c>
      <c r="Q37" s="18">
        <v>1.8886720310905147</v>
      </c>
      <c r="R37" s="18">
        <v>1.2591146873936767</v>
      </c>
      <c r="S37" s="19">
        <v>0</v>
      </c>
      <c r="T37" s="18">
        <v>154.56272824937383</v>
      </c>
      <c r="U37" s="18">
        <v>800.17043328096008</v>
      </c>
      <c r="V37" s="18">
        <v>785.83232777162027</v>
      </c>
      <c r="W37" s="18">
        <v>0</v>
      </c>
      <c r="AB37" s="16">
        <v>1824.9125113388711</v>
      </c>
    </row>
    <row r="38" spans="1:28">
      <c r="B38" t="s">
        <v>2</v>
      </c>
      <c r="E38" t="s">
        <v>12</v>
      </c>
      <c r="F38" s="16">
        <v>380.84270518918856</v>
      </c>
      <c r="G38" s="16">
        <v>30.932041347705599</v>
      </c>
      <c r="H38" s="16">
        <v>811.32143072314705</v>
      </c>
      <c r="I38" s="16">
        <v>0.30134483621851149</v>
      </c>
      <c r="J38" s="16">
        <v>1187.6308492753121</v>
      </c>
      <c r="K38" s="16">
        <v>108.97073557258673</v>
      </c>
      <c r="L38" s="16">
        <v>1799.3637987791249</v>
      </c>
      <c r="M38" s="16">
        <v>2.1307038487765433</v>
      </c>
      <c r="O38" s="18">
        <v>42270.706134933738</v>
      </c>
      <c r="P38" s="18">
        <v>48287.587898804224</v>
      </c>
      <c r="Q38" s="18">
        <v>330.81074063764538</v>
      </c>
      <c r="R38" s="18">
        <v>352.35596359267458</v>
      </c>
      <c r="S38" s="19">
        <v>56.924421188521478</v>
      </c>
      <c r="T38" s="18">
        <v>11790063.343006115</v>
      </c>
      <c r="U38" s="18">
        <v>19326501.007428315</v>
      </c>
      <c r="V38" s="18">
        <v>1040712.3347515351</v>
      </c>
      <c r="W38" s="18">
        <v>2612614.3041378357</v>
      </c>
      <c r="AB38" s="16">
        <v>55881134.40249116</v>
      </c>
    </row>
    <row r="39" spans="1:28">
      <c r="F39" s="1" t="s">
        <v>120</v>
      </c>
      <c r="O39" s="15" t="s">
        <v>40</v>
      </c>
      <c r="P39" s="15"/>
      <c r="Q39" s="15"/>
      <c r="R39" s="15"/>
      <c r="S39" s="15"/>
      <c r="T39" s="15"/>
      <c r="U39" s="15"/>
      <c r="V39" s="15"/>
      <c r="AB39" s="1" t="s">
        <v>30</v>
      </c>
    </row>
    <row r="40" spans="1:28">
      <c r="A40" t="s">
        <v>4</v>
      </c>
      <c r="C40" t="s">
        <v>6</v>
      </c>
      <c r="E40" s="4" t="s">
        <v>11</v>
      </c>
      <c r="F40" s="18">
        <f t="array" ref="F40:M48">MMULT(F17:M25,_xlfn.MUNIT(8)*AB31:AB38)</f>
        <v>1094.0924180341392</v>
      </c>
      <c r="G40" s="18">
        <v>13.478945508719416</v>
      </c>
      <c r="H40" s="18">
        <v>0</v>
      </c>
      <c r="I40" s="19">
        <v>807004.72234579525</v>
      </c>
      <c r="J40" s="18">
        <v>0</v>
      </c>
      <c r="K40" s="18">
        <v>0</v>
      </c>
      <c r="L40" s="18">
        <v>0</v>
      </c>
      <c r="M40" s="18">
        <v>0</v>
      </c>
      <c r="O40" s="34">
        <f t="array" ref="O40:W48">MINVERSE(_xlfn.MUNIT(9)-MMULT(F17:M25,O8:W15))</f>
        <v>1.9059120055409076</v>
      </c>
      <c r="P40" s="34">
        <v>117.07861398524433</v>
      </c>
      <c r="Q40" s="34">
        <v>66.384523605690291</v>
      </c>
      <c r="R40" s="34">
        <v>74.668585881232346</v>
      </c>
      <c r="S40" s="44">
        <v>1.1127772638648609E-2</v>
      </c>
      <c r="T40" s="34">
        <v>5.0625255314604163E-2</v>
      </c>
      <c r="U40" s="34">
        <v>2.4214300080008027</v>
      </c>
      <c r="V40" s="34">
        <v>3.9517755591972263</v>
      </c>
      <c r="W40" s="34">
        <v>2.7468140127092137E-4</v>
      </c>
      <c r="AB40" s="16">
        <f t="array" ref="AB40:AB48">MMULT(F17:M25,AB31:AB38)</f>
        <v>808112.29370933806</v>
      </c>
    </row>
    <row r="41" spans="1:28">
      <c r="C41" t="s">
        <v>10</v>
      </c>
      <c r="E41" s="4" t="s">
        <v>11</v>
      </c>
      <c r="F41" s="18">
        <v>4681.5408098334619</v>
      </c>
      <c r="G41" s="18">
        <v>0.86322476313579399</v>
      </c>
      <c r="H41" s="18">
        <v>0</v>
      </c>
      <c r="I41" s="19">
        <v>0</v>
      </c>
      <c r="J41" s="18">
        <v>0</v>
      </c>
      <c r="K41" s="18">
        <v>0</v>
      </c>
      <c r="L41" s="18">
        <v>0</v>
      </c>
      <c r="M41" s="18">
        <v>0</v>
      </c>
      <c r="O41" s="34">
        <v>7.389956736177569E-3</v>
      </c>
      <c r="P41" s="34">
        <v>1.7683107968396636</v>
      </c>
      <c r="Q41" s="34">
        <v>0.46046532124405914</v>
      </c>
      <c r="R41" s="34">
        <v>0.45318541803477297</v>
      </c>
      <c r="S41" s="44">
        <v>8.8702983715144762E-5</v>
      </c>
      <c r="T41" s="34">
        <v>5.021810132975963E-4</v>
      </c>
      <c r="U41" s="34">
        <v>2.3004777246877769E-2</v>
      </c>
      <c r="V41" s="34">
        <v>3.5823580296430693E-2</v>
      </c>
      <c r="W41" s="34">
        <v>2.8234458010557241E-6</v>
      </c>
      <c r="AB41" s="16">
        <v>4682.4040345965977</v>
      </c>
    </row>
    <row r="42" spans="1:28">
      <c r="C42" t="s">
        <v>24</v>
      </c>
      <c r="E42" s="4" t="s">
        <v>11</v>
      </c>
      <c r="F42" s="18">
        <v>0</v>
      </c>
      <c r="G42" s="18">
        <v>0</v>
      </c>
      <c r="H42" s="18">
        <v>105.70678907780237</v>
      </c>
      <c r="I42" s="19">
        <v>0</v>
      </c>
      <c r="J42" s="18">
        <v>0</v>
      </c>
      <c r="K42" s="18">
        <v>0</v>
      </c>
      <c r="L42" s="18">
        <v>0</v>
      </c>
      <c r="M42" s="18">
        <v>0</v>
      </c>
      <c r="O42" s="34">
        <v>1.2660886650161572E-4</v>
      </c>
      <c r="P42" s="34">
        <v>2.7578779668423987E-2</v>
      </c>
      <c r="Q42" s="34">
        <v>1.0731456730456088</v>
      </c>
      <c r="R42" s="34">
        <v>7.2974192288465342E-2</v>
      </c>
      <c r="S42" s="44">
        <v>1.4399269275218851E-6</v>
      </c>
      <c r="T42" s="34">
        <v>2.8798333157159871E-5</v>
      </c>
      <c r="U42" s="34">
        <v>1.5949457731679075E-3</v>
      </c>
      <c r="V42" s="34">
        <v>4.7006789196741257E-3</v>
      </c>
      <c r="W42" s="34">
        <v>1.6298782446599303E-7</v>
      </c>
      <c r="AB42" s="16">
        <v>105.70678907780237</v>
      </c>
    </row>
    <row r="43" spans="1:28">
      <c r="C43" t="s">
        <v>26</v>
      </c>
      <c r="E43" s="4"/>
      <c r="F43" s="18">
        <v>0</v>
      </c>
      <c r="G43" s="18">
        <v>0</v>
      </c>
      <c r="H43" s="18">
        <v>70.471192718534923</v>
      </c>
      <c r="I43" s="19">
        <v>0</v>
      </c>
      <c r="J43" s="18">
        <v>0</v>
      </c>
      <c r="K43" s="18">
        <v>0</v>
      </c>
      <c r="L43" s="18">
        <v>0</v>
      </c>
      <c r="M43" s="18">
        <v>0</v>
      </c>
      <c r="O43" s="34">
        <v>8.4405911000919303E-5</v>
      </c>
      <c r="P43" s="34">
        <v>1.8385853112279516E-2</v>
      </c>
      <c r="Q43" s="34">
        <v>4.8763782030351414E-2</v>
      </c>
      <c r="R43" s="34">
        <v>1.048649461525603</v>
      </c>
      <c r="S43" s="44">
        <v>9.5995128501129849E-7</v>
      </c>
      <c r="T43" s="34">
        <v>1.9198888769329608E-5</v>
      </c>
      <c r="U43" s="34">
        <v>1.0632971820264264E-3</v>
      </c>
      <c r="V43" s="34">
        <v>3.1337859462870739E-3</v>
      </c>
      <c r="W43" s="34">
        <v>1.0865854954174102E-7</v>
      </c>
      <c r="AB43" s="16">
        <v>70.471192718534923</v>
      </c>
    </row>
    <row r="44" spans="1:28">
      <c r="C44" t="s">
        <v>2</v>
      </c>
      <c r="E44" s="4" t="s">
        <v>11</v>
      </c>
      <c r="F44" s="20">
        <v>0</v>
      </c>
      <c r="G44" s="20">
        <v>0</v>
      </c>
      <c r="H44" s="20">
        <v>0</v>
      </c>
      <c r="I44" s="21">
        <v>7985227.2422777312</v>
      </c>
      <c r="J44" s="20">
        <v>0</v>
      </c>
      <c r="K44" s="20">
        <v>0</v>
      </c>
      <c r="L44" s="20">
        <v>0</v>
      </c>
      <c r="M44" s="20">
        <v>0</v>
      </c>
      <c r="O44" s="34">
        <v>8.9467198810837854</v>
      </c>
      <c r="P44" s="34">
        <v>1156.6953435037572</v>
      </c>
      <c r="Q44" s="34">
        <v>655.79780401727442</v>
      </c>
      <c r="R44" s="34">
        <v>737.78424368998594</v>
      </c>
      <c r="S44" s="44">
        <v>1.1099023188900541</v>
      </c>
      <c r="T44" s="34">
        <v>0.49976362333692398</v>
      </c>
      <c r="U44" s="34">
        <v>23.906319020563103</v>
      </c>
      <c r="V44" s="34">
        <v>39.019151644492453</v>
      </c>
      <c r="W44" s="34">
        <v>2.7113822393241421E-3</v>
      </c>
      <c r="AB44" s="17">
        <v>7985227.2422777312</v>
      </c>
    </row>
    <row r="45" spans="1:28">
      <c r="A45" t="s">
        <v>8</v>
      </c>
      <c r="C45" t="s">
        <v>6</v>
      </c>
      <c r="E45" s="4" t="s">
        <v>11</v>
      </c>
      <c r="F45" s="18">
        <v>0</v>
      </c>
      <c r="G45" s="18">
        <v>0</v>
      </c>
      <c r="H45" s="18">
        <v>0</v>
      </c>
      <c r="I45" s="19">
        <v>0</v>
      </c>
      <c r="J45" s="18">
        <v>8248.6437775618579</v>
      </c>
      <c r="K45" s="18">
        <v>43.544767813922817</v>
      </c>
      <c r="L45" s="18">
        <v>0</v>
      </c>
      <c r="M45" s="18">
        <v>1940251.0047045923</v>
      </c>
      <c r="O45" s="45">
        <v>0.10028174187108647</v>
      </c>
      <c r="P45" s="45">
        <v>16.419176236908381</v>
      </c>
      <c r="Q45" s="45">
        <v>30.229191205008426</v>
      </c>
      <c r="R45" s="45">
        <v>25.669357274317754</v>
      </c>
      <c r="S45" s="46">
        <v>1.4765405520011533E-3</v>
      </c>
      <c r="T45" s="45">
        <v>1.9567212640181364</v>
      </c>
      <c r="U45" s="45">
        <v>48.631355845897588</v>
      </c>
      <c r="V45" s="45">
        <v>62.841848148991531</v>
      </c>
      <c r="W45" s="45">
        <v>6.502882445260344E-3</v>
      </c>
      <c r="AB45" s="16">
        <v>1948543.1932499681</v>
      </c>
    </row>
    <row r="46" spans="1:28">
      <c r="C46" t="s">
        <v>10</v>
      </c>
      <c r="E46" s="4" t="s">
        <v>11</v>
      </c>
      <c r="F46" s="18">
        <v>0</v>
      </c>
      <c r="G46" s="18">
        <v>0</v>
      </c>
      <c r="H46" s="18">
        <v>0</v>
      </c>
      <c r="I46" s="19">
        <v>0</v>
      </c>
      <c r="J46" s="18">
        <v>42410.791475730104</v>
      </c>
      <c r="K46" s="18">
        <v>2.764640486357933</v>
      </c>
      <c r="L46" s="18">
        <v>0</v>
      </c>
      <c r="M46" s="18">
        <v>0</v>
      </c>
      <c r="O46" s="34">
        <v>4.0032374010386474E-3</v>
      </c>
      <c r="P46" s="34">
        <v>0.66143367182732093</v>
      </c>
      <c r="Q46" s="34">
        <v>1.2909763007074855</v>
      </c>
      <c r="R46" s="34">
        <v>1.0846797852005623</v>
      </c>
      <c r="S46" s="44">
        <v>6.1444379110889278E-5</v>
      </c>
      <c r="T46" s="34">
        <v>2.9701315068491156E-2</v>
      </c>
      <c r="U46" s="34">
        <v>2.1899496724771965</v>
      </c>
      <c r="V46" s="34">
        <v>1.8791547750004893</v>
      </c>
      <c r="W46" s="34">
        <v>1.8726708596257058E-4</v>
      </c>
      <c r="AB46" s="16">
        <v>42413.556116216459</v>
      </c>
    </row>
    <row r="47" spans="1:28">
      <c r="C47" t="s">
        <v>25</v>
      </c>
      <c r="E47" s="4" t="s">
        <v>11</v>
      </c>
      <c r="F47" s="18">
        <v>0</v>
      </c>
      <c r="G47" s="18">
        <v>0</v>
      </c>
      <c r="H47" s="18">
        <v>0</v>
      </c>
      <c r="I47" s="19">
        <v>0</v>
      </c>
      <c r="J47" s="18">
        <v>1357.4974174835806</v>
      </c>
      <c r="K47" s="18">
        <v>0</v>
      </c>
      <c r="L47" s="18">
        <v>1824.9125113388711</v>
      </c>
      <c r="M47" s="18">
        <v>0</v>
      </c>
      <c r="O47" s="16">
        <v>3.7934093649006045E-4</v>
      </c>
      <c r="P47" s="34">
        <v>6.7132030118098748E-2</v>
      </c>
      <c r="Q47" s="34">
        <v>0.12241191539574091</v>
      </c>
      <c r="R47" s="34">
        <v>0.10797756341272147</v>
      </c>
      <c r="S47" s="44">
        <v>5.3899007401727706E-6</v>
      </c>
      <c r="T47" s="34">
        <v>2.2194154875896737E-3</v>
      </c>
      <c r="U47" s="34">
        <v>0.11088674439008921</v>
      </c>
      <c r="V47" s="34">
        <v>1.462059219525693</v>
      </c>
      <c r="W47" s="34">
        <v>1.3374270328072342E-5</v>
      </c>
      <c r="AB47" s="16">
        <v>3182.4099288224515</v>
      </c>
    </row>
    <row r="48" spans="1:28">
      <c r="C48" t="s">
        <v>2</v>
      </c>
      <c r="E48" s="4" t="s">
        <v>11</v>
      </c>
      <c r="F48" s="18">
        <v>0</v>
      </c>
      <c r="G48" s="18">
        <v>0</v>
      </c>
      <c r="H48" s="18">
        <v>0</v>
      </c>
      <c r="I48" s="19">
        <v>0</v>
      </c>
      <c r="J48" s="18">
        <v>8.6289757423212148</v>
      </c>
      <c r="K48" s="18">
        <v>0</v>
      </c>
      <c r="L48" s="18">
        <v>0</v>
      </c>
      <c r="M48" s="18">
        <v>53940883.397786573</v>
      </c>
      <c r="O48" s="34">
        <v>2.766242130452826</v>
      </c>
      <c r="P48" s="34">
        <v>452.88705347741484</v>
      </c>
      <c r="Q48" s="34">
        <v>833.41228153316831</v>
      </c>
      <c r="R48" s="34">
        <v>707.76096312523646</v>
      </c>
      <c r="S48" s="44">
        <v>4.0716539939293202E-2</v>
      </c>
      <c r="T48" s="34">
        <v>26.4368324093269</v>
      </c>
      <c r="U48" s="34">
        <v>1345.552990534539</v>
      </c>
      <c r="V48" s="34">
        <v>1736.8884018355884</v>
      </c>
      <c r="W48" s="34">
        <v>1.1797725025995542</v>
      </c>
      <c r="AB48" s="16">
        <v>53940892.026762314</v>
      </c>
    </row>
    <row r="49" spans="1:38">
      <c r="E49" s="4"/>
      <c r="F49" s="15"/>
      <c r="G49" s="15"/>
      <c r="H49" s="15"/>
      <c r="I49" s="15"/>
      <c r="J49" s="15"/>
      <c r="K49" s="15"/>
      <c r="L49" s="15"/>
      <c r="M49" s="15"/>
      <c r="AB49" s="15"/>
    </row>
    <row r="50" spans="1:38">
      <c r="D50" t="s">
        <v>19</v>
      </c>
      <c r="E50" s="4" t="s">
        <v>14</v>
      </c>
      <c r="N50" s="3" t="s">
        <v>31</v>
      </c>
      <c r="O50" s="22">
        <f t="array" ref="O50:W51">MMULT(O27:W28,_xlfn.MUNIT(9)*AB40:AB48)</f>
        <v>7.5419258288792745</v>
      </c>
      <c r="P50" s="22">
        <v>1.5740127858606803</v>
      </c>
      <c r="Q50" s="22">
        <v>1.4212660645270605E-2</v>
      </c>
      <c r="R50" s="22">
        <v>1.4212660645270608E-2</v>
      </c>
      <c r="S50" s="23">
        <v>6.9212009888269754E-2</v>
      </c>
      <c r="T50" s="22">
        <v>24.054701583798753</v>
      </c>
      <c r="U50" s="22">
        <v>7.2554037928275417</v>
      </c>
      <c r="V50" s="22">
        <v>0.33234401586972373</v>
      </c>
      <c r="W50" s="22">
        <v>0.32426297939621945</v>
      </c>
      <c r="AB50" s="61" t="s">
        <v>93</v>
      </c>
    </row>
    <row r="51" spans="1:38">
      <c r="D51" t="s">
        <v>20</v>
      </c>
      <c r="E51" s="4" t="s">
        <v>13</v>
      </c>
      <c r="N51" s="3"/>
      <c r="O51" s="111">
        <v>886.2423912204041</v>
      </c>
      <c r="P51" s="111">
        <v>756.06305232010664</v>
      </c>
      <c r="Q51" s="111">
        <v>80.187623479158418</v>
      </c>
      <c r="R51" s="111">
        <v>21.141357815560475</v>
      </c>
      <c r="S51" s="112">
        <v>595.71235152337874</v>
      </c>
      <c r="T51" s="111">
        <v>5295.3706457035823</v>
      </c>
      <c r="U51" s="111">
        <v>10220.243154107327</v>
      </c>
      <c r="V51" s="111">
        <v>2149.6037727312378</v>
      </c>
      <c r="W51" s="111">
        <v>7393.3487254019665</v>
      </c>
      <c r="AB51" s="18">
        <f>SUM(O51:W51,Y28:Z28)</f>
        <v>31618.666798622548</v>
      </c>
    </row>
    <row r="52" spans="1:38">
      <c r="E52" s="4"/>
      <c r="N52" s="3"/>
      <c r="O52" s="15"/>
      <c r="P52" s="15"/>
      <c r="Q52" s="15"/>
      <c r="R52" s="15"/>
      <c r="S52" s="15"/>
      <c r="T52" s="15"/>
      <c r="U52" s="15"/>
      <c r="V52" s="15"/>
      <c r="W52" s="15"/>
    </row>
    <row r="53" spans="1:38">
      <c r="A53" s="43"/>
      <c r="AB53" t="s">
        <v>46</v>
      </c>
      <c r="AF53" t="s">
        <v>47</v>
      </c>
      <c r="AJ53" t="s">
        <v>50</v>
      </c>
    </row>
    <row r="54" spans="1:38">
      <c r="AB54" t="s">
        <v>4</v>
      </c>
      <c r="AC54" t="s">
        <v>8</v>
      </c>
      <c r="AF54" t="s">
        <v>4</v>
      </c>
      <c r="AG54" t="s">
        <v>8</v>
      </c>
      <c r="AJ54" t="s">
        <v>4</v>
      </c>
      <c r="AK54" t="s">
        <v>8</v>
      </c>
    </row>
    <row r="55" spans="1:38">
      <c r="D55" t="s">
        <v>34</v>
      </c>
      <c r="E55" s="4" t="s">
        <v>14</v>
      </c>
      <c r="F55" s="40">
        <f t="array" ref="F55:M56">MMULT(MMULT(O27:W28,F17:M25),F31:M38)</f>
        <v>1.6497775607941694E-3</v>
      </c>
      <c r="G55" s="40">
        <v>1.4320431114568877E-4</v>
      </c>
      <c r="H55" s="40">
        <v>1.565522560115446E-3</v>
      </c>
      <c r="I55" s="110">
        <v>2.2098664764684771E-6</v>
      </c>
      <c r="J55" s="40">
        <v>8.7507369948924634E-4</v>
      </c>
      <c r="K55" s="40">
        <v>8.9700981688616666E-5</v>
      </c>
      <c r="L55" s="40">
        <v>1.310886865659989E-3</v>
      </c>
      <c r="M55" s="40">
        <v>1.1714338820786828E-6</v>
      </c>
      <c r="N55" s="1" t="s">
        <v>39</v>
      </c>
      <c r="AA55" t="s">
        <v>36</v>
      </c>
      <c r="AB55" s="42">
        <f t="array" ref="AB55:AC56">'Ex. 3a,b'!AB55:AC56</f>
        <v>1.5435715137695525</v>
      </c>
      <c r="AC55" s="39">
        <v>1.3107335625338521</v>
      </c>
      <c r="AF55" s="42">
        <f>H55*1000</f>
        <v>1.5655225601154459</v>
      </c>
      <c r="AG55" s="39">
        <f>L55*1000</f>
        <v>1.310886865659989</v>
      </c>
      <c r="AJ55" s="48">
        <f t="array" ref="AJ55:AK56">(AF55:AG56-AB55:AC56)/AB55:AC56</f>
        <v>1.4220945482653277E-2</v>
      </c>
      <c r="AK55" s="48">
        <v>1.1695979298841554E-4</v>
      </c>
    </row>
    <row r="56" spans="1:38">
      <c r="D56" t="s">
        <v>20</v>
      </c>
      <c r="E56" s="4" t="s">
        <v>13</v>
      </c>
      <c r="F56" s="40">
        <v>0.68044451553221352</v>
      </c>
      <c r="G56" s="40">
        <v>5.6029088025616888E-2</v>
      </c>
      <c r="H56" s="40">
        <v>1.4014082114791759</v>
      </c>
      <c r="I56" s="110">
        <v>6.7166163317812348E-4</v>
      </c>
      <c r="J56" s="40">
        <v>0.80874163564923784</v>
      </c>
      <c r="K56" s="40">
        <v>7.2189379932060149E-2</v>
      </c>
      <c r="L56" s="40">
        <v>1.8667609299216146</v>
      </c>
      <c r="M56" s="40">
        <v>8.4449589111996863E-4</v>
      </c>
      <c r="N56" s="1"/>
      <c r="AA56" t="s">
        <v>37</v>
      </c>
      <c r="AB56" s="39">
        <v>1.6409605824154903</v>
      </c>
      <c r="AC56" s="39">
        <v>1.8684339311460068</v>
      </c>
      <c r="AF56" s="39">
        <f>H56</f>
        <v>1.4014082114791759</v>
      </c>
      <c r="AG56" s="39">
        <f>L56</f>
        <v>1.8667609299216146</v>
      </c>
      <c r="AJ56" s="48">
        <v>-0.145983013549109</v>
      </c>
      <c r="AK56" s="48">
        <v>-8.9540293424560157E-4</v>
      </c>
    </row>
    <row r="57" spans="1:38">
      <c r="E57" s="4"/>
      <c r="F57" s="41"/>
      <c r="G57" s="41"/>
      <c r="H57" s="41"/>
      <c r="I57" s="41"/>
      <c r="J57" s="41"/>
      <c r="K57" s="41"/>
      <c r="L57" s="41"/>
      <c r="M57" s="41"/>
      <c r="N57" s="1"/>
      <c r="AB57" s="41"/>
      <c r="AC57" s="41"/>
      <c r="AE57" s="41"/>
      <c r="AF57" s="41"/>
      <c r="AH57" s="49"/>
      <c r="AI57" s="49"/>
    </row>
    <row r="58" spans="1:38">
      <c r="D58" t="s">
        <v>34</v>
      </c>
      <c r="E58" s="4" t="s">
        <v>14</v>
      </c>
      <c r="F58" s="22" cm="1">
        <f t="array" ref="F58:M59">MMULT(F55:M56,_xlfn.MUNIT(8)*AB8:AB15)</f>
        <v>1.6219894403215953</v>
      </c>
      <c r="G58" s="22">
        <v>1.308886086855783E-3</v>
      </c>
      <c r="H58" s="22">
        <v>4.4758332257150936E-3</v>
      </c>
      <c r="I58" s="23">
        <v>7.8184977669804869</v>
      </c>
      <c r="J58" s="22">
        <v>7.0565813115208336</v>
      </c>
      <c r="K58" s="22">
        <v>2.7501583988843044E-3</v>
      </c>
      <c r="L58" s="22">
        <v>5.1209116036481032E-2</v>
      </c>
      <c r="M58" s="22">
        <v>24.623475805240155</v>
      </c>
      <c r="N58" s="1" t="s">
        <v>147</v>
      </c>
      <c r="AB58" t="s">
        <v>46</v>
      </c>
      <c r="AF58" t="s">
        <v>47</v>
      </c>
      <c r="AJ58" t="s">
        <v>50</v>
      </c>
    </row>
    <row r="59" spans="1:38">
      <c r="D59" t="s">
        <v>20</v>
      </c>
      <c r="E59" s="4" t="s">
        <v>13</v>
      </c>
      <c r="F59" s="22">
        <v>668.98341033727479</v>
      </c>
      <c r="G59" s="22">
        <v>0.51210534926801121</v>
      </c>
      <c r="H59" s="22">
        <v>4.0066298599145771</v>
      </c>
      <c r="I59" s="23">
        <v>2376.3358714603019</v>
      </c>
      <c r="J59" s="22">
        <v>6521.6805342249172</v>
      </c>
      <c r="K59" s="22">
        <v>2.2132670768262019</v>
      </c>
      <c r="L59" s="22">
        <v>72.924048273682359</v>
      </c>
      <c r="M59" s="22">
        <v>17751.25720772054</v>
      </c>
      <c r="AB59" t="s">
        <v>4</v>
      </c>
      <c r="AD59" t="s">
        <v>8</v>
      </c>
      <c r="AF59" t="s">
        <v>4</v>
      </c>
      <c r="AH59" t="s">
        <v>8</v>
      </c>
      <c r="AJ59" t="s">
        <v>4</v>
      </c>
      <c r="AL59" t="s">
        <v>8</v>
      </c>
    </row>
    <row r="60" spans="1:38">
      <c r="A60" s="43"/>
      <c r="AB60" t="s">
        <v>42</v>
      </c>
      <c r="AC60" t="s">
        <v>43</v>
      </c>
      <c r="AD60" t="s">
        <v>44</v>
      </c>
      <c r="AF60" t="s">
        <v>42</v>
      </c>
      <c r="AG60" t="s">
        <v>43</v>
      </c>
      <c r="AH60" t="s">
        <v>44</v>
      </c>
      <c r="AJ60" t="s">
        <v>42</v>
      </c>
      <c r="AK60" t="s">
        <v>43</v>
      </c>
      <c r="AL60" t="s">
        <v>44</v>
      </c>
    </row>
    <row r="61" spans="1:38">
      <c r="D61" t="s">
        <v>34</v>
      </c>
      <c r="E61" s="4" t="s">
        <v>14</v>
      </c>
      <c r="N61" s="3" t="s">
        <v>41</v>
      </c>
      <c r="O61" s="40">
        <f t="array" ref="O61:W62">MMULT(O27:W28,O40:W48)</f>
        <v>2.2362225290169682E-5</v>
      </c>
      <c r="P61" s="40">
        <v>2.030110201669114E-3</v>
      </c>
      <c r="Q61" s="40">
        <v>1.5459570118127619E-3</v>
      </c>
      <c r="R61" s="40">
        <v>1.5948708825698446E-3</v>
      </c>
      <c r="S61" s="110">
        <v>1.7322453308599191E-7</v>
      </c>
      <c r="T61" s="40">
        <v>3.0280526125619798E-5</v>
      </c>
      <c r="U61" s="40">
        <v>1.0256092683743135E-3</v>
      </c>
      <c r="V61" s="40">
        <v>1.310886865660308E-3</v>
      </c>
      <c r="W61" s="40">
        <v>1.2438122157534235E-7</v>
      </c>
      <c r="AA61" t="s">
        <v>36</v>
      </c>
      <c r="AB61" s="40">
        <f t="array" ref="AB61:AD62">'Ex. 3a,b'!AB73:AD74</f>
        <v>1.5435715137695345</v>
      </c>
      <c r="AC61" s="40">
        <v>1.5924909770243574</v>
      </c>
      <c r="AD61" s="40">
        <v>1.3107335625338159</v>
      </c>
      <c r="AF61" s="40">
        <f>Q61*1000</f>
        <v>1.5459570118127619</v>
      </c>
      <c r="AG61" s="40">
        <f>R61*1000</f>
        <v>1.5948708825698446</v>
      </c>
      <c r="AH61" s="40">
        <f>V61*1000</f>
        <v>1.3108868656603081</v>
      </c>
      <c r="AJ61" s="48">
        <f t="array" ref="AJ61:AL62">(AF61:AH62-AB61:AD62)/AB61:AD62</f>
        <v>1.5454405720417941E-3</v>
      </c>
      <c r="AK61" s="48">
        <v>1.4944546498681793E-3</v>
      </c>
      <c r="AL61" s="48">
        <v>1.1695979325946651E-4</v>
      </c>
    </row>
    <row r="62" spans="1:38">
      <c r="D62" t="s">
        <v>20</v>
      </c>
      <c r="E62" s="4" t="s">
        <v>13</v>
      </c>
      <c r="N62" s="3"/>
      <c r="O62" s="40">
        <v>5.9447906189912551E-3</v>
      </c>
      <c r="P62" s="40">
        <v>0.83807745412450374</v>
      </c>
      <c r="Q62" s="40">
        <v>1.6149275768310518</v>
      </c>
      <c r="R62" s="40">
        <v>1.0811291634515796</v>
      </c>
      <c r="S62" s="110">
        <v>1.3874755772653406E-4</v>
      </c>
      <c r="T62" s="40">
        <v>1.7798781412927372E-2</v>
      </c>
      <c r="U62" s="40">
        <v>0.92887436138400425</v>
      </c>
      <c r="V62" s="40">
        <v>1.8667609299219221</v>
      </c>
      <c r="W62" s="40">
        <v>2.3465104903375235E-4</v>
      </c>
      <c r="AA62" t="s">
        <v>37</v>
      </c>
      <c r="AB62" s="40">
        <v>1.6409605824155182</v>
      </c>
      <c r="AC62" s="40">
        <v>1.107101137954877</v>
      </c>
      <c r="AD62" s="40">
        <v>1.8684339311461173</v>
      </c>
      <c r="AF62" s="40">
        <f>Q62</f>
        <v>1.6149275768310518</v>
      </c>
      <c r="AG62" s="40">
        <f>R62</f>
        <v>1.0811291634515796</v>
      </c>
      <c r="AH62" s="40">
        <f>V62</f>
        <v>1.8667609299219221</v>
      </c>
      <c r="AJ62" s="48">
        <v>-1.5864491727245179E-2</v>
      </c>
      <c r="AK62" s="48">
        <v>-2.3459441610975851E-2</v>
      </c>
      <c r="AL62" s="48">
        <v>-8.9540293414013753E-4</v>
      </c>
    </row>
    <row r="64" spans="1:38">
      <c r="AB64" t="s">
        <v>46</v>
      </c>
      <c r="AF64" t="s">
        <v>47</v>
      </c>
      <c r="AJ64" t="s">
        <v>50</v>
      </c>
    </row>
    <row r="65" spans="27:37">
      <c r="AB65" t="s">
        <v>4</v>
      </c>
      <c r="AC65" t="s">
        <v>8</v>
      </c>
      <c r="AF65" t="s">
        <v>4</v>
      </c>
      <c r="AG65" t="s">
        <v>8</v>
      </c>
      <c r="AJ65" t="s">
        <v>4</v>
      </c>
      <c r="AK65" t="s">
        <v>8</v>
      </c>
    </row>
    <row r="66" spans="27:37">
      <c r="AA66" t="s">
        <v>148</v>
      </c>
      <c r="AB66" s="22">
        <f>SUM('Ex. 3a,b'!O50:S50)</f>
        <v>9.2005882587121111</v>
      </c>
      <c r="AC66" s="22">
        <f>SUM('Ex. 3a,b'!T50:W50)</f>
        <v>31.972721992083514</v>
      </c>
      <c r="AF66" s="42">
        <f>SUM(O50:S50)</f>
        <v>9.2135759459187661</v>
      </c>
      <c r="AG66" s="39">
        <f>SUM(T50:W50)</f>
        <v>31.966712371892239</v>
      </c>
      <c r="AJ66" s="48" cm="1">
        <f t="array" ref="AJ66:AK67">(AF66:AG67-AB66:AC67)/AB66:AC67</f>
        <v>1.4116148708596813E-3</v>
      </c>
      <c r="AK66" s="113">
        <v>-1.8796085590594766E-4</v>
      </c>
    </row>
    <row r="67" spans="27:37">
      <c r="AA67" t="s">
        <v>65</v>
      </c>
      <c r="AB67" s="22">
        <f>SUM('Ex. 3a,b'!O51:S51)</f>
        <v>2369.6978854447048</v>
      </c>
      <c r="AC67" s="22">
        <f>SUM('Ex. 3a,b'!T51:W51)</f>
        <v>25064.265626415377</v>
      </c>
      <c r="AF67" s="111">
        <f>SUM(O51:S51)</f>
        <v>2339.3467763586082</v>
      </c>
      <c r="AG67" s="111">
        <f>SUM(T51:W51)</f>
        <v>25058.566297944115</v>
      </c>
      <c r="AJ67" s="113">
        <v>-1.2808007836155369E-2</v>
      </c>
      <c r="AK67" s="113">
        <v>-2.2738860799719602E-4</v>
      </c>
    </row>
  </sheetData>
  <mergeCells count="1">
    <mergeCell ref="X6:Z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8FE2-7EEC-B342-A25A-106F24DD1E02}">
  <dimension ref="A1:AT73"/>
  <sheetViews>
    <sheetView showGridLines="0" zoomScale="86" workbookViewId="0">
      <pane xSplit="5" ySplit="5" topLeftCell="F6" activePane="bottomRight" state="frozen"/>
      <selection activeCell="Z63" sqref="Z63"/>
      <selection pane="topRight" activeCell="Z63" sqref="Z63"/>
      <selection pane="bottomLeft" activeCell="Z63" sqref="Z63"/>
      <selection pane="bottomRight" activeCell="Z63" sqref="Z63"/>
    </sheetView>
  </sheetViews>
  <sheetFormatPr defaultColWidth="11.5546875" defaultRowHeight="14.4"/>
  <cols>
    <col min="1" max="1" width="6.6640625" bestFit="1" customWidth="1"/>
    <col min="2" max="2" width="11.44140625" bestFit="1" customWidth="1"/>
    <col min="3" max="3" width="10" customWidth="1"/>
    <col min="4" max="4" width="10.6640625" customWidth="1"/>
    <col min="5" max="5" width="7.33203125" customWidth="1"/>
    <col min="6" max="13" width="6.6640625" customWidth="1"/>
    <col min="14" max="14" width="3" customWidth="1"/>
    <col min="15" max="23" width="6.6640625" customWidth="1"/>
    <col min="24" max="24" width="7.6640625" customWidth="1"/>
    <col min="25" max="26" width="7.44140625" customWidth="1"/>
    <col min="27" max="27" width="3.109375" customWidth="1"/>
    <col min="28" max="38" width="7.44140625" customWidth="1"/>
  </cols>
  <sheetData>
    <row r="1" spans="1:30">
      <c r="A1" s="6" t="s">
        <v>3</v>
      </c>
      <c r="B1" s="6"/>
      <c r="C1" s="6"/>
      <c r="D1" s="6"/>
      <c r="E1" s="6"/>
      <c r="F1" t="s">
        <v>4</v>
      </c>
      <c r="J1" t="s">
        <v>8</v>
      </c>
      <c r="O1" t="s">
        <v>4</v>
      </c>
      <c r="S1" t="s">
        <v>8</v>
      </c>
      <c r="Y1" t="s">
        <v>4</v>
      </c>
      <c r="Z1" t="s">
        <v>8</v>
      </c>
    </row>
    <row r="2" spans="1:30" ht="33" customHeight="1">
      <c r="A2" s="6"/>
      <c r="B2" s="6" t="s">
        <v>32</v>
      </c>
      <c r="C2" s="6"/>
      <c r="D2" s="6"/>
      <c r="E2" s="6"/>
      <c r="F2" s="5" t="s">
        <v>5</v>
      </c>
      <c r="G2" s="5" t="s">
        <v>6</v>
      </c>
      <c r="H2" s="5" t="s">
        <v>7</v>
      </c>
      <c r="I2" s="5" t="s">
        <v>2</v>
      </c>
      <c r="J2" s="5" t="s">
        <v>5</v>
      </c>
      <c r="K2" s="5" t="s">
        <v>6</v>
      </c>
      <c r="L2" s="5" t="s">
        <v>7</v>
      </c>
      <c r="M2" s="5" t="s">
        <v>2</v>
      </c>
      <c r="N2" s="5"/>
    </row>
    <row r="3" spans="1:30" ht="66.599999999999994">
      <c r="A3" s="6"/>
      <c r="B3" s="6"/>
      <c r="C3" s="6" t="s">
        <v>33</v>
      </c>
      <c r="D3" s="6"/>
      <c r="E3" s="6"/>
      <c r="O3" s="5" t="s">
        <v>6</v>
      </c>
      <c r="P3" s="5" t="s">
        <v>10</v>
      </c>
      <c r="Q3" s="5" t="s">
        <v>24</v>
      </c>
      <c r="R3" s="5" t="s">
        <v>26</v>
      </c>
      <c r="S3" s="5" t="s">
        <v>2</v>
      </c>
      <c r="T3" s="5" t="s">
        <v>6</v>
      </c>
      <c r="U3" s="5" t="s">
        <v>10</v>
      </c>
      <c r="V3" s="5" t="s">
        <v>25</v>
      </c>
      <c r="W3" s="5" t="s">
        <v>2</v>
      </c>
      <c r="Y3" s="5" t="s">
        <v>22</v>
      </c>
      <c r="Z3" s="5" t="s">
        <v>22</v>
      </c>
      <c r="AA3" s="5"/>
    </row>
    <row r="4" spans="1:30">
      <c r="A4" s="6"/>
      <c r="B4" s="6"/>
      <c r="C4" s="6"/>
      <c r="D4" s="7" t="s">
        <v>53</v>
      </c>
      <c r="E4" s="6"/>
    </row>
    <row r="5" spans="1:30">
      <c r="A5" s="6"/>
      <c r="B5" s="6"/>
      <c r="C5" s="6"/>
      <c r="D5" s="6"/>
      <c r="E5" s="6" t="s">
        <v>9</v>
      </c>
      <c r="F5" t="s">
        <v>13</v>
      </c>
      <c r="G5" t="s">
        <v>14</v>
      </c>
      <c r="H5" t="s">
        <v>13</v>
      </c>
      <c r="I5" t="s">
        <v>12</v>
      </c>
      <c r="J5" t="s">
        <v>13</v>
      </c>
      <c r="K5" t="s">
        <v>14</v>
      </c>
      <c r="L5" t="s">
        <v>13</v>
      </c>
      <c r="M5" t="s">
        <v>12</v>
      </c>
      <c r="O5" s="2" t="s">
        <v>11</v>
      </c>
      <c r="P5" s="2" t="s">
        <v>11</v>
      </c>
      <c r="Q5" s="2" t="s">
        <v>11</v>
      </c>
      <c r="R5" s="2" t="s">
        <v>11</v>
      </c>
      <c r="S5" s="2" t="s">
        <v>11</v>
      </c>
      <c r="T5" s="2" t="s">
        <v>11</v>
      </c>
      <c r="U5" s="2" t="s">
        <v>11</v>
      </c>
      <c r="V5" s="2" t="s">
        <v>11</v>
      </c>
    </row>
    <row r="6" spans="1:30">
      <c r="A6" s="36" t="s">
        <v>91</v>
      </c>
      <c r="B6" s="6"/>
      <c r="C6" s="6"/>
      <c r="D6" s="6"/>
      <c r="E6" s="6"/>
      <c r="O6" s="2"/>
      <c r="P6" s="2"/>
      <c r="Q6" s="2"/>
      <c r="R6" s="2"/>
      <c r="S6" s="2"/>
      <c r="T6" s="2"/>
      <c r="U6" s="2"/>
      <c r="V6" s="2"/>
    </row>
    <row r="7" spans="1:30">
      <c r="Y7" s="1" t="s">
        <v>124</v>
      </c>
      <c r="AB7" s="1" t="s">
        <v>28</v>
      </c>
    </row>
    <row r="8" spans="1:30">
      <c r="A8" t="s">
        <v>4</v>
      </c>
      <c r="B8" t="s">
        <v>5</v>
      </c>
      <c r="E8" t="s">
        <v>13</v>
      </c>
      <c r="N8" s="3" t="s">
        <v>123</v>
      </c>
      <c r="O8" s="24">
        <f t="array" ref="O8:W9">'Ex. 3a,b'!O8:W9</f>
        <v>3.5125779492936287E-3</v>
      </c>
      <c r="P8" s="24">
        <v>0.27055147676963526</v>
      </c>
      <c r="Q8" s="24">
        <v>0.15827162508874215</v>
      </c>
      <c r="R8" s="24">
        <v>0.12</v>
      </c>
      <c r="S8" s="25">
        <v>4.1115841657158798E-5</v>
      </c>
      <c r="T8" s="24">
        <v>8.1908449500277985E-5</v>
      </c>
      <c r="U8" s="24">
        <v>3.3905805890108824E-3</v>
      </c>
      <c r="V8" s="24">
        <v>3.9752338900787623E-3</v>
      </c>
      <c r="W8" s="24">
        <v>3.2484095634919501E-7</v>
      </c>
      <c r="Y8" s="50">
        <f t="array" ref="Y8:Z9">'Ex. 3a,b'!Y8:Z9</f>
        <v>835.54777745223998</v>
      </c>
      <c r="Z8" s="9">
        <v>145.60866670548177</v>
      </c>
      <c r="AA8" s="15"/>
      <c r="AB8" s="16">
        <f t="shared" ref="AB8:AB15" si="0">SUM(Y8:Z8)</f>
        <v>981.15644415772181</v>
      </c>
    </row>
    <row r="9" spans="1:30">
      <c r="B9" t="s">
        <v>6</v>
      </c>
      <c r="E9" t="s">
        <v>14</v>
      </c>
      <c r="O9" s="24">
        <v>4.5711092023886639E-6</v>
      </c>
      <c r="P9" s="24">
        <v>2.1778395399500096E-4</v>
      </c>
      <c r="Q9" s="24">
        <v>1.4460696673718849E-4</v>
      </c>
      <c r="R9" s="24">
        <v>1.4460696673718849E-4</v>
      </c>
      <c r="S9" s="25">
        <v>5.2547112481212482E-9</v>
      </c>
      <c r="T9" s="24">
        <v>1.4657736982926854E-7</v>
      </c>
      <c r="U9" s="24">
        <v>2.9643635201485096E-6</v>
      </c>
      <c r="V9" s="24">
        <v>2.0349831834856871E-6</v>
      </c>
      <c r="W9" s="24">
        <v>5.9382573677841501E-11</v>
      </c>
      <c r="Y9" s="25">
        <v>8.1689306237507644</v>
      </c>
      <c r="Z9" s="9">
        <v>0.47106017948831502</v>
      </c>
      <c r="AA9" s="15"/>
      <c r="AB9" s="16">
        <f t="shared" si="0"/>
        <v>8.6399908032390798</v>
      </c>
      <c r="AD9" s="8"/>
    </row>
    <row r="10" spans="1:30">
      <c r="B10" t="s">
        <v>7</v>
      </c>
      <c r="E10" t="s">
        <v>13</v>
      </c>
      <c r="O10" s="30">
        <v>0</v>
      </c>
      <c r="P10" s="30">
        <v>0</v>
      </c>
      <c r="Q10" s="30">
        <v>0</v>
      </c>
      <c r="R10" s="30">
        <v>0</v>
      </c>
      <c r="S10" s="33">
        <v>0</v>
      </c>
      <c r="T10" s="30">
        <v>0</v>
      </c>
      <c r="U10" s="30">
        <v>0</v>
      </c>
      <c r="V10" s="30">
        <v>0</v>
      </c>
      <c r="W10" s="30">
        <v>0</v>
      </c>
      <c r="Y10" s="33">
        <v>0</v>
      </c>
      <c r="Z10" s="51">
        <v>0</v>
      </c>
      <c r="AA10" s="69"/>
      <c r="AB10" s="16">
        <f t="shared" si="0"/>
        <v>0</v>
      </c>
    </row>
    <row r="11" spans="1:30">
      <c r="B11" t="s">
        <v>2</v>
      </c>
      <c r="E11" t="s">
        <v>12</v>
      </c>
      <c r="O11" s="26">
        <f t="array" ref="O11:W13">'Ex. 3a,b'!O11:W13</f>
        <v>3.0778015177769711</v>
      </c>
      <c r="P11" s="26">
        <v>483.15055506033173</v>
      </c>
      <c r="Q11" s="26">
        <v>234.22695024215588</v>
      </c>
      <c r="R11" s="26">
        <v>300</v>
      </c>
      <c r="S11" s="27">
        <v>3.8828749371217115E-2</v>
      </c>
      <c r="T11" s="26">
        <v>2.6646337381623513E-2</v>
      </c>
      <c r="U11" s="26">
        <v>2.0564663648075712</v>
      </c>
      <c r="V11" s="26">
        <v>3.0057870070316599</v>
      </c>
      <c r="W11" s="26">
        <v>1.014030941430635E-6</v>
      </c>
      <c r="Y11" s="14">
        <f t="array" ref="Y11:Z13">'Ex. 3a,b'!Y11:Z13</f>
        <v>3454409.2918194081</v>
      </c>
      <c r="Z11" s="13">
        <v>83583.261411934014</v>
      </c>
      <c r="AA11" s="52"/>
      <c r="AB11" s="17">
        <f t="shared" si="0"/>
        <v>3537992.5532313422</v>
      </c>
    </row>
    <row r="12" spans="1:30">
      <c r="A12" t="s">
        <v>8</v>
      </c>
      <c r="B12" t="s">
        <v>5</v>
      </c>
      <c r="E12" t="s">
        <v>13</v>
      </c>
      <c r="O12" s="24">
        <v>3.9488973072122864E-4</v>
      </c>
      <c r="P12" s="24">
        <v>0.13987704970409229</v>
      </c>
      <c r="Q12" s="24">
        <v>0.51737763554589511</v>
      </c>
      <c r="R12" s="24">
        <v>0.4</v>
      </c>
      <c r="S12" s="25">
        <v>1.2466997366732116E-5</v>
      </c>
      <c r="T12" s="24">
        <v>1.2049567506561484E-2</v>
      </c>
      <c r="U12" s="24">
        <v>0.32560213310586744</v>
      </c>
      <c r="V12" s="24">
        <v>0.549940514603386</v>
      </c>
      <c r="W12" s="24">
        <v>6.981505861539915E-5</v>
      </c>
      <c r="Y12" s="50">
        <v>585.7878886264366</v>
      </c>
      <c r="Z12" s="9">
        <v>7478.1972541558725</v>
      </c>
      <c r="AA12" s="15"/>
      <c r="AB12" s="16">
        <f t="shared" si="0"/>
        <v>8063.9851427823087</v>
      </c>
    </row>
    <row r="13" spans="1:30">
      <c r="B13" t="s">
        <v>6</v>
      </c>
      <c r="E13" t="s">
        <v>14</v>
      </c>
      <c r="F13" s="8"/>
      <c r="O13" s="24">
        <v>3.1023561720495332E-7</v>
      </c>
      <c r="P13" s="24">
        <v>1.7648369730282666E-5</v>
      </c>
      <c r="Q13" s="24">
        <v>9.8309998879296497E-6</v>
      </c>
      <c r="R13" s="24">
        <v>9.8309998879296497E-6</v>
      </c>
      <c r="S13" s="25">
        <v>4.1399413888669278E-10</v>
      </c>
      <c r="T13" s="24">
        <v>5.8021191434317627E-6</v>
      </c>
      <c r="U13" s="24">
        <v>8.7224283068274662E-5</v>
      </c>
      <c r="V13" s="24">
        <v>6.5546676671697596E-5</v>
      </c>
      <c r="W13" s="24">
        <v>1.8183213575593468E-9</v>
      </c>
      <c r="Y13" s="25">
        <v>0.317073594229689</v>
      </c>
      <c r="Z13" s="9">
        <v>30.342104790585111</v>
      </c>
      <c r="AA13" s="15"/>
      <c r="AB13" s="16">
        <f t="shared" si="0"/>
        <v>30.659178384814801</v>
      </c>
    </row>
    <row r="14" spans="1:30">
      <c r="B14" t="s">
        <v>7</v>
      </c>
      <c r="E14" t="s">
        <v>13</v>
      </c>
      <c r="O14" s="30">
        <f t="array" ref="O14:W14">'Ex. 3a,b'!O10:W10+'Ex. 3a,b'!O14:W14</f>
        <v>1.7225965735500892E-5</v>
      </c>
      <c r="P14" s="30">
        <v>3.0289377498188476E-2</v>
      </c>
      <c r="Q14" s="30">
        <v>0.11555154936776199</v>
      </c>
      <c r="R14" s="30">
        <v>0.11555154936776199</v>
      </c>
      <c r="S14" s="33">
        <v>0</v>
      </c>
      <c r="T14" s="30">
        <v>8.2360895928176107E-5</v>
      </c>
      <c r="U14" s="30">
        <v>1.947758307797786E-2</v>
      </c>
      <c r="V14" s="30">
        <v>0.25027084618957579</v>
      </c>
      <c r="W14" s="30">
        <v>0</v>
      </c>
      <c r="Y14" s="33">
        <f t="array" ref="Y14:Z14">'Ex. 3a,b'!Y10:Z10+'Ex. 3a,b'!Y14:Z14</f>
        <v>2.5872339060927083</v>
      </c>
      <c r="Z14" s="51">
        <v>39.236250540945818</v>
      </c>
      <c r="AA14" s="69"/>
      <c r="AB14" s="16">
        <f t="shared" si="0"/>
        <v>41.823484447038524</v>
      </c>
    </row>
    <row r="15" spans="1:30">
      <c r="B15" t="s">
        <v>2</v>
      </c>
      <c r="E15" t="s">
        <v>12</v>
      </c>
      <c r="O15" s="24">
        <f t="array" ref="O15:W15">'Ex. 3a,b'!O15:W15</f>
        <v>5.230796074256689E-2</v>
      </c>
      <c r="P15" s="24">
        <v>10.312563277757455</v>
      </c>
      <c r="Q15" s="24">
        <v>3.1295127164837244</v>
      </c>
      <c r="R15" s="24">
        <v>5</v>
      </c>
      <c r="S15" s="25">
        <v>7.1287164987785846E-6</v>
      </c>
      <c r="T15" s="24">
        <v>6.0507066940309961</v>
      </c>
      <c r="U15" s="24">
        <v>455.66801695364074</v>
      </c>
      <c r="V15" s="24">
        <v>327.02020105141429</v>
      </c>
      <c r="W15" s="24">
        <v>4.8434762681373707E-2</v>
      </c>
      <c r="Y15" s="50">
        <f t="array" ref="Y15:Z15">'Ex. 3a,b'!Y15:Z15</f>
        <v>50504.880188880001</v>
      </c>
      <c r="Z15" s="9">
        <v>20969440.147819322</v>
      </c>
      <c r="AA15" s="15"/>
      <c r="AB15" s="16">
        <f t="shared" si="0"/>
        <v>21019945.0280082</v>
      </c>
    </row>
    <row r="16" spans="1:30">
      <c r="F16" s="1" t="s">
        <v>16</v>
      </c>
      <c r="O16" s="15"/>
      <c r="P16" s="15"/>
      <c r="Q16" s="15"/>
      <c r="R16" s="15"/>
      <c r="S16" s="15"/>
      <c r="T16" s="15"/>
      <c r="U16" s="15"/>
      <c r="V16" s="15"/>
      <c r="W16" s="15"/>
      <c r="Y16" s="15"/>
      <c r="Z16" s="15"/>
      <c r="AA16" s="15"/>
    </row>
    <row r="17" spans="1:29">
      <c r="A17" t="s">
        <v>4</v>
      </c>
      <c r="C17" t="s">
        <v>6</v>
      </c>
      <c r="E17" s="4" t="s">
        <v>11</v>
      </c>
      <c r="F17" s="24">
        <f t="array" ref="F17:M25">'Ex. 3a,b'!F17:M25</f>
        <v>0.18943246131958499</v>
      </c>
      <c r="G17" s="24">
        <v>0.93981212419226612</v>
      </c>
      <c r="H17" s="24">
        <v>0</v>
      </c>
      <c r="I17" s="25">
        <v>9.1786104551479536E-2</v>
      </c>
      <c r="J17" s="24">
        <v>0</v>
      </c>
      <c r="K17" s="24">
        <v>0</v>
      </c>
      <c r="L17" s="24">
        <v>0</v>
      </c>
      <c r="M17" s="24">
        <v>0</v>
      </c>
      <c r="O17" s="15"/>
      <c r="P17" s="15"/>
      <c r="Q17" s="15"/>
      <c r="R17" s="15"/>
      <c r="S17" s="15"/>
      <c r="T17" s="15"/>
      <c r="U17" s="15"/>
      <c r="V17" s="15"/>
      <c r="W17" s="15"/>
    </row>
    <row r="18" spans="1:29">
      <c r="C18" t="s">
        <v>10</v>
      </c>
      <c r="E18" s="4" t="s">
        <v>11</v>
      </c>
      <c r="F18" s="24">
        <v>0.81056753868041498</v>
      </c>
      <c r="G18" s="24">
        <v>6.0187875807733854E-2</v>
      </c>
      <c r="H18" s="24">
        <v>0</v>
      </c>
      <c r="I18" s="25">
        <v>0</v>
      </c>
      <c r="J18" s="24">
        <v>0</v>
      </c>
      <c r="K18" s="24">
        <v>0</v>
      </c>
      <c r="L18" s="24">
        <v>0</v>
      </c>
      <c r="M18" s="24">
        <v>0</v>
      </c>
      <c r="O18" s="15"/>
      <c r="P18" s="15"/>
      <c r="Q18" s="15"/>
      <c r="R18" s="15"/>
      <c r="S18" s="15"/>
      <c r="T18" s="15"/>
      <c r="U18" s="15"/>
      <c r="V18" s="15"/>
      <c r="W18" s="15"/>
    </row>
    <row r="19" spans="1:29">
      <c r="C19" t="s">
        <v>24</v>
      </c>
      <c r="E19" s="4" t="s">
        <v>11</v>
      </c>
      <c r="F19" s="24">
        <v>0</v>
      </c>
      <c r="G19" s="24">
        <v>0</v>
      </c>
      <c r="H19" s="24">
        <v>1</v>
      </c>
      <c r="I19" s="25">
        <v>0</v>
      </c>
      <c r="J19" s="24">
        <v>0</v>
      </c>
      <c r="K19" s="24">
        <v>0</v>
      </c>
      <c r="L19" s="24">
        <v>0</v>
      </c>
      <c r="M19" s="24">
        <v>0</v>
      </c>
      <c r="O19" s="15"/>
      <c r="P19" s="15"/>
      <c r="Q19" s="15"/>
      <c r="R19" s="15"/>
      <c r="S19" s="15"/>
      <c r="T19" s="15"/>
      <c r="U19" s="15"/>
      <c r="V19" s="15"/>
      <c r="W19" s="15"/>
    </row>
    <row r="20" spans="1:29">
      <c r="C20" t="s">
        <v>26</v>
      </c>
      <c r="E20" s="4" t="s">
        <v>11</v>
      </c>
      <c r="F20" s="24">
        <v>0</v>
      </c>
      <c r="G20" s="24">
        <v>0</v>
      </c>
      <c r="H20" s="24">
        <v>0</v>
      </c>
      <c r="I20" s="25">
        <v>0</v>
      </c>
      <c r="J20" s="24">
        <v>0</v>
      </c>
      <c r="K20" s="24">
        <v>0</v>
      </c>
      <c r="L20" s="24">
        <v>0</v>
      </c>
      <c r="M20" s="24">
        <v>0</v>
      </c>
      <c r="O20" s="15"/>
      <c r="P20" s="15"/>
      <c r="Q20" s="15"/>
      <c r="R20" s="15"/>
      <c r="S20" s="15"/>
      <c r="T20" s="15"/>
      <c r="U20" s="15"/>
      <c r="V20" s="15"/>
      <c r="W20" s="15"/>
    </row>
    <row r="21" spans="1:29">
      <c r="C21" t="s">
        <v>2</v>
      </c>
      <c r="E21" s="4" t="s">
        <v>11</v>
      </c>
      <c r="F21" s="26">
        <v>0</v>
      </c>
      <c r="G21" s="26">
        <v>0</v>
      </c>
      <c r="H21" s="26">
        <v>0</v>
      </c>
      <c r="I21" s="27">
        <v>0.90821389544852049</v>
      </c>
      <c r="J21" s="26">
        <v>0</v>
      </c>
      <c r="K21" s="26">
        <v>0</v>
      </c>
      <c r="L21" s="26">
        <v>0</v>
      </c>
      <c r="M21" s="26">
        <v>0</v>
      </c>
      <c r="O21" s="15"/>
      <c r="P21" s="15"/>
      <c r="Q21" s="15"/>
      <c r="R21" s="15"/>
      <c r="S21" s="15"/>
      <c r="T21" s="15"/>
      <c r="U21" s="15"/>
      <c r="V21" s="15"/>
      <c r="W21" s="15"/>
    </row>
    <row r="22" spans="1:29">
      <c r="A22" t="s">
        <v>8</v>
      </c>
      <c r="C22" t="s">
        <v>6</v>
      </c>
      <c r="E22" s="4" t="s">
        <v>11</v>
      </c>
      <c r="F22" s="24">
        <v>0</v>
      </c>
      <c r="G22" s="24">
        <v>0</v>
      </c>
      <c r="H22" s="24">
        <v>0</v>
      </c>
      <c r="I22" s="25">
        <v>0</v>
      </c>
      <c r="J22" s="24">
        <v>0.15854982659498015</v>
      </c>
      <c r="K22" s="24">
        <v>0.94030067349529989</v>
      </c>
      <c r="L22" s="24">
        <v>0</v>
      </c>
      <c r="M22" s="24">
        <v>3.472103824395692E-2</v>
      </c>
      <c r="O22" s="15"/>
      <c r="P22" s="15"/>
      <c r="Q22" s="15"/>
      <c r="R22" s="15"/>
      <c r="S22" s="15"/>
      <c r="T22" s="15"/>
      <c r="U22" s="15"/>
      <c r="V22" s="15"/>
      <c r="W22" s="15"/>
    </row>
    <row r="23" spans="1:29">
      <c r="C23" t="s">
        <v>10</v>
      </c>
      <c r="E23" s="4" t="s">
        <v>11</v>
      </c>
      <c r="F23" s="24">
        <v>0</v>
      </c>
      <c r="G23" s="24">
        <v>0</v>
      </c>
      <c r="H23" s="24">
        <v>0</v>
      </c>
      <c r="I23" s="25">
        <v>0</v>
      </c>
      <c r="J23" s="24">
        <v>0.81519142001552447</v>
      </c>
      <c r="K23" s="24">
        <v>5.9699326504700174E-2</v>
      </c>
      <c r="L23" s="24">
        <v>0</v>
      </c>
      <c r="M23" s="24">
        <v>0</v>
      </c>
      <c r="O23" s="15"/>
      <c r="P23" s="15"/>
      <c r="Q23" s="15"/>
      <c r="R23" s="15"/>
      <c r="S23" s="15"/>
      <c r="T23" s="15"/>
      <c r="U23" s="15"/>
      <c r="V23" s="15"/>
      <c r="W23" s="15"/>
    </row>
    <row r="24" spans="1:29">
      <c r="C24" t="s">
        <v>25</v>
      </c>
      <c r="E24" s="4" t="s">
        <v>11</v>
      </c>
      <c r="F24" s="24">
        <v>0</v>
      </c>
      <c r="G24" s="24">
        <v>0</v>
      </c>
      <c r="H24" s="24">
        <v>0</v>
      </c>
      <c r="I24" s="25">
        <v>0</v>
      </c>
      <c r="J24" s="24">
        <v>2.6092893080269894E-2</v>
      </c>
      <c r="K24" s="24">
        <v>0</v>
      </c>
      <c r="L24" s="24">
        <v>1</v>
      </c>
      <c r="M24" s="24">
        <v>0</v>
      </c>
      <c r="O24" s="15"/>
      <c r="P24" s="15"/>
      <c r="Q24" s="15"/>
      <c r="R24" s="15"/>
      <c r="S24" s="15"/>
      <c r="T24" s="15"/>
      <c r="U24" s="15"/>
      <c r="V24" s="15"/>
      <c r="W24" s="15"/>
    </row>
    <row r="25" spans="1:29">
      <c r="C25" t="s">
        <v>2</v>
      </c>
      <c r="E25" s="4" t="s">
        <v>11</v>
      </c>
      <c r="F25" s="24">
        <v>0</v>
      </c>
      <c r="G25" s="24">
        <v>0</v>
      </c>
      <c r="H25" s="24">
        <v>0</v>
      </c>
      <c r="I25" s="25">
        <v>0</v>
      </c>
      <c r="J25" s="24">
        <v>1.6586030922548941E-4</v>
      </c>
      <c r="K25" s="24">
        <v>0</v>
      </c>
      <c r="L25" s="24">
        <v>0</v>
      </c>
      <c r="M25" s="24">
        <v>0.96527896175604311</v>
      </c>
      <c r="O25" s="15"/>
      <c r="P25" s="15"/>
      <c r="Q25" s="15"/>
      <c r="R25" s="15"/>
      <c r="S25" s="15"/>
      <c r="T25" s="15"/>
      <c r="U25" s="15"/>
      <c r="V25" s="15"/>
      <c r="W25" s="15"/>
    </row>
    <row r="26" spans="1:29">
      <c r="E26" s="4"/>
      <c r="F26" s="41"/>
      <c r="G26" s="41"/>
      <c r="H26" s="41"/>
      <c r="I26" s="41"/>
      <c r="J26" s="41"/>
      <c r="K26" s="41"/>
      <c r="L26" s="41"/>
      <c r="M26" s="41"/>
      <c r="O26" s="15"/>
      <c r="P26" s="15"/>
      <c r="Q26" s="15"/>
      <c r="R26" s="15"/>
      <c r="S26" s="15"/>
      <c r="T26" s="15"/>
      <c r="U26" s="15"/>
      <c r="V26" s="15"/>
      <c r="W26" s="15"/>
    </row>
    <row r="27" spans="1:29">
      <c r="D27" t="s">
        <v>19</v>
      </c>
      <c r="E27" s="4" t="s">
        <v>14</v>
      </c>
      <c r="N27" s="3" t="s">
        <v>18</v>
      </c>
      <c r="O27" s="28">
        <f t="array" ref="O27:W28">'Ex. 3a,b'!O27:W28</f>
        <v>9.3327695761945131E-6</v>
      </c>
      <c r="P27" s="28">
        <v>3.3615484145128579E-4</v>
      </c>
      <c r="Q27" s="28">
        <v>1.3445362184646243E-4</v>
      </c>
      <c r="R27" s="28">
        <v>2.0168043276969365E-4</v>
      </c>
      <c r="S27" s="29">
        <v>8.6675066079306092E-9</v>
      </c>
      <c r="T27" s="28">
        <v>1.2344967084705986E-5</v>
      </c>
      <c r="U27" s="28">
        <v>1.7106332166412003E-4</v>
      </c>
      <c r="V27" s="28">
        <v>1.0443155448320794E-4</v>
      </c>
      <c r="W27" s="28">
        <v>6.0114500745619698E-9</v>
      </c>
      <c r="Y27" s="1" t="s">
        <v>23</v>
      </c>
    </row>
    <row r="28" spans="1:29">
      <c r="D28" t="s">
        <v>20</v>
      </c>
      <c r="E28" s="4" t="s">
        <v>13</v>
      </c>
      <c r="N28" s="3"/>
      <c r="O28" s="28">
        <v>1.0966822285952847E-3</v>
      </c>
      <c r="P28" s="28">
        <v>0.16146899044461541</v>
      </c>
      <c r="Q28" s="28">
        <v>0.75858536787205477</v>
      </c>
      <c r="R28" s="28">
        <v>0.3</v>
      </c>
      <c r="S28" s="29">
        <v>7.460180323602862E-5</v>
      </c>
      <c r="T28" s="28">
        <v>2.7176049594627937E-3</v>
      </c>
      <c r="U28" s="28">
        <v>0.24096642889606007</v>
      </c>
      <c r="V28" s="28">
        <v>0.67546413592501253</v>
      </c>
      <c r="W28" s="28">
        <v>1.3706389434075023E-4</v>
      </c>
      <c r="Y28" s="12">
        <f t="array" ref="Y28:Z28">'Ex. 3a,b'!Y28:Z28</f>
        <v>796.06386428400185</v>
      </c>
      <c r="Z28" s="10">
        <v>3424.6898600358227</v>
      </c>
      <c r="AA28" s="53"/>
    </row>
    <row r="30" spans="1:29">
      <c r="F30" t="s">
        <v>38</v>
      </c>
      <c r="O30" s="1" t="s">
        <v>27</v>
      </c>
      <c r="AB30" s="1" t="s">
        <v>29</v>
      </c>
    </row>
    <row r="31" spans="1:29">
      <c r="A31" t="s">
        <v>4</v>
      </c>
      <c r="B31" t="s">
        <v>5</v>
      </c>
      <c r="E31" t="s">
        <v>13</v>
      </c>
      <c r="F31" s="35">
        <f t="array" ref="F31:M38">MINVERSE(_xlfn.MUNIT(8)-MMULT(O8:W15,F17:M25))</f>
        <v>1.7525624092351646</v>
      </c>
      <c r="G31" s="35">
        <v>6.4228855504265936E-2</v>
      </c>
      <c r="H31" s="35">
        <v>0.51109984015782772</v>
      </c>
      <c r="I31" s="35">
        <v>9.2606442335263983E-4</v>
      </c>
      <c r="J31" s="35">
        <v>2.3274426493594558E-2</v>
      </c>
      <c r="K31" s="35">
        <v>2.1815082493812361E-3</v>
      </c>
      <c r="L31" s="35">
        <v>4.0533429020259748E-2</v>
      </c>
      <c r="M31" s="35">
        <v>2.3970604084584424E-5</v>
      </c>
      <c r="O31" s="18">
        <f t="array" ref="O31:W38">MMULT(O8:W15,_xlfn.MUNIT(9)*AB40:AB48)</f>
        <v>2801.3611849776639</v>
      </c>
      <c r="P31" s="18">
        <v>1248.0005673499559</v>
      </c>
      <c r="Q31" s="18">
        <v>3.917726561035303E-10</v>
      </c>
      <c r="R31" s="18">
        <v>0</v>
      </c>
      <c r="S31" s="19">
        <v>324.01800196926064</v>
      </c>
      <c r="T31" s="18">
        <v>160.04531034138483</v>
      </c>
      <c r="U31" s="18">
        <v>144.16171877312155</v>
      </c>
      <c r="V31" s="18">
        <v>13.495299010423571</v>
      </c>
      <c r="W31" s="18">
        <v>17.570887469254892</v>
      </c>
      <c r="AB31" s="16">
        <f t="array" ref="AB31:AB38">MMULT(F31:M38,AB8:AB15)</f>
        <v>5689.8094140506582</v>
      </c>
      <c r="AC31" s="8"/>
    </row>
    <row r="32" spans="1:29">
      <c r="B32" t="s">
        <v>6</v>
      </c>
      <c r="E32" t="s">
        <v>14</v>
      </c>
      <c r="F32" s="35">
        <v>7.4360221039499591E-4</v>
      </c>
      <c r="G32" s="35">
        <v>1.0000647718613573</v>
      </c>
      <c r="H32" s="35">
        <v>5.1810335871688986E-4</v>
      </c>
      <c r="I32" s="35">
        <v>1.0161615093880323E-6</v>
      </c>
      <c r="J32" s="35">
        <v>2.4998517966893128E-5</v>
      </c>
      <c r="K32" s="35">
        <v>2.4092213868144281E-6</v>
      </c>
      <c r="L32" s="35">
        <v>4.1216461282636708E-5</v>
      </c>
      <c r="M32" s="35">
        <v>2.7851044360925814E-8</v>
      </c>
      <c r="O32" s="18">
        <v>3.6455640491738937</v>
      </c>
      <c r="P32" s="18">
        <v>1.0045943987838626</v>
      </c>
      <c r="Q32" s="18">
        <v>3.5794827669165647E-13</v>
      </c>
      <c r="R32" s="18">
        <v>0</v>
      </c>
      <c r="S32" s="19">
        <v>4.1410341389550472E-2</v>
      </c>
      <c r="T32" s="18">
        <v>0.28640538047627928</v>
      </c>
      <c r="U32" s="18">
        <v>0.1260396940624314</v>
      </c>
      <c r="V32" s="18">
        <v>6.9084504966772852E-3</v>
      </c>
      <c r="W32" s="18">
        <v>3.2120473091036576E-3</v>
      </c>
      <c r="AB32" s="16">
        <v>13.754125164931235</v>
      </c>
    </row>
    <row r="33" spans="1:28">
      <c r="B33" t="s">
        <v>7</v>
      </c>
      <c r="E33" t="s">
        <v>13</v>
      </c>
      <c r="F33" s="35">
        <v>3.0423428605177521E-14</v>
      </c>
      <c r="G33" s="35">
        <v>-1.901464287823595E-15</v>
      </c>
      <c r="H33" s="35">
        <v>1.0000000000000322</v>
      </c>
      <c r="I33" s="35">
        <v>-1.4855189748621836E-17</v>
      </c>
      <c r="J33" s="35">
        <v>0</v>
      </c>
      <c r="K33" s="35">
        <v>0</v>
      </c>
      <c r="L33" s="35">
        <v>0</v>
      </c>
      <c r="M33" s="35">
        <v>1.1884151798897469E-16</v>
      </c>
      <c r="O33" s="18">
        <v>0</v>
      </c>
      <c r="P33" s="18">
        <v>0</v>
      </c>
      <c r="Q33" s="18">
        <v>0</v>
      </c>
      <c r="R33" s="18">
        <v>0</v>
      </c>
      <c r="S33" s="19">
        <v>0</v>
      </c>
      <c r="T33" s="18">
        <v>0</v>
      </c>
      <c r="U33" s="18">
        <v>0</v>
      </c>
      <c r="V33" s="18">
        <v>0</v>
      </c>
      <c r="W33" s="18">
        <v>0</v>
      </c>
      <c r="AB33" s="16">
        <v>2.4753183388612156E-9</v>
      </c>
    </row>
    <row r="34" spans="1:28">
      <c r="B34" t="s">
        <v>2</v>
      </c>
      <c r="E34" t="s">
        <v>12</v>
      </c>
      <c r="F34" s="16">
        <v>1010.2527809055481</v>
      </c>
      <c r="G34" s="16">
        <v>84.00930681321725</v>
      </c>
      <c r="H34" s="16">
        <v>643.80198618123268</v>
      </c>
      <c r="I34" s="16">
        <v>2.0002427905977203</v>
      </c>
      <c r="J34" s="16">
        <v>21.138563210460006</v>
      </c>
      <c r="K34" s="16">
        <v>1.9579786859407522</v>
      </c>
      <c r="L34" s="16">
        <v>37.93238054507335</v>
      </c>
      <c r="M34" s="16">
        <v>2.0749375838877059E-2</v>
      </c>
      <c r="O34" s="20">
        <v>2454617.0452102334</v>
      </c>
      <c r="P34" s="20">
        <v>2228678.1577767879</v>
      </c>
      <c r="Q34" s="20">
        <v>5.7978626538994187E-7</v>
      </c>
      <c r="R34" s="20">
        <v>0</v>
      </c>
      <c r="S34" s="21">
        <v>305994.31467643089</v>
      </c>
      <c r="T34" s="20">
        <v>52065.707039036381</v>
      </c>
      <c r="U34" s="20">
        <v>87437.451482685035</v>
      </c>
      <c r="V34" s="20">
        <v>10204.178054221278</v>
      </c>
      <c r="W34" s="20">
        <v>54.849683249507031</v>
      </c>
      <c r="AB34" s="17">
        <v>8677044.2571545672</v>
      </c>
    </row>
    <row r="35" spans="1:28">
      <c r="A35" t="s">
        <v>8</v>
      </c>
      <c r="B35" t="s">
        <v>5</v>
      </c>
      <c r="E35" t="s">
        <v>13</v>
      </c>
      <c r="F35" s="35">
        <v>0.68614504056925762</v>
      </c>
      <c r="G35" s="35">
        <v>5.5639316911575969E-2</v>
      </c>
      <c r="H35" s="35">
        <v>1.6736606131475942</v>
      </c>
      <c r="I35" s="35">
        <v>5.3510021791799468E-4</v>
      </c>
      <c r="J35" s="35">
        <v>2.2576017629091463</v>
      </c>
      <c r="K35" s="35">
        <v>0.12155127661806794</v>
      </c>
      <c r="L35" s="35">
        <v>2.3109100763557522</v>
      </c>
      <c r="M35" s="35">
        <v>1.4881830371371516E-3</v>
      </c>
      <c r="O35" s="18">
        <v>314.93358438100762</v>
      </c>
      <c r="P35" s="18">
        <v>645.22522469386593</v>
      </c>
      <c r="Q35" s="18">
        <v>1.2806743493834084E-9</v>
      </c>
      <c r="R35" s="18">
        <v>0</v>
      </c>
      <c r="S35" s="19">
        <v>98.247571118886228</v>
      </c>
      <c r="T35" s="18">
        <v>23544.295891726706</v>
      </c>
      <c r="U35" s="18">
        <v>13844.048802989799</v>
      </c>
      <c r="V35" s="18">
        <v>1866.9622688218374</v>
      </c>
      <c r="W35" s="18">
        <v>3776.3481316436305</v>
      </c>
      <c r="AB35" s="16">
        <v>52154.046618159555</v>
      </c>
    </row>
    <row r="36" spans="1:28">
      <c r="B36" t="s">
        <v>6</v>
      </c>
      <c r="E36" t="s">
        <v>14</v>
      </c>
      <c r="F36" s="35">
        <v>1.9438111339921293E-4</v>
      </c>
      <c r="G36" s="35">
        <v>1.6050820897454854E-5</v>
      </c>
      <c r="H36" s="35">
        <v>3.7139397157437106E-4</v>
      </c>
      <c r="I36" s="35">
        <v>1.7898440434580855E-7</v>
      </c>
      <c r="J36" s="35">
        <v>4.1395625845967797E-4</v>
      </c>
      <c r="K36" s="35">
        <v>1.0000422735099261</v>
      </c>
      <c r="L36" s="35">
        <v>6.3164092151691046E-4</v>
      </c>
      <c r="M36" s="35">
        <v>5.4751393221302855E-7</v>
      </c>
      <c r="O36" s="18">
        <v>0.24741999431224448</v>
      </c>
      <c r="P36" s="18">
        <v>8.1408446552107314E-2</v>
      </c>
      <c r="Q36" s="18">
        <v>2.4334854311934818E-14</v>
      </c>
      <c r="R36" s="18">
        <v>0</v>
      </c>
      <c r="S36" s="19">
        <v>3.2625272474677653E-3</v>
      </c>
      <c r="T36" s="18">
        <v>11.3370716283071</v>
      </c>
      <c r="U36" s="18">
        <v>3.7086281348481469</v>
      </c>
      <c r="V36" s="18">
        <v>0.22252074350437481</v>
      </c>
      <c r="W36" s="18">
        <v>9.8354346433684375E-2</v>
      </c>
      <c r="AB36" s="16">
        <v>46.357844206019962</v>
      </c>
    </row>
    <row r="37" spans="1:28">
      <c r="B37" t="s">
        <v>7</v>
      </c>
      <c r="E37" t="s">
        <v>13</v>
      </c>
      <c r="F37" s="35">
        <v>8.1630517846857112E-2</v>
      </c>
      <c r="G37" s="35">
        <v>6.5261168740295599E-3</v>
      </c>
      <c r="H37" s="35">
        <v>0.22598124770029077</v>
      </c>
      <c r="I37" s="35">
        <v>5.1776163007270124E-5</v>
      </c>
      <c r="J37" s="35">
        <v>7.2861131271953331E-2</v>
      </c>
      <c r="K37" s="35">
        <v>5.781336005465809E-3</v>
      </c>
      <c r="L37" s="35">
        <v>1.4112232114052732</v>
      </c>
      <c r="M37" s="35">
        <v>5.3468792738347179E-5</v>
      </c>
      <c r="O37" s="18">
        <v>13.738101326659987</v>
      </c>
      <c r="P37" s="18">
        <v>139.71892060527364</v>
      </c>
      <c r="Q37" s="18">
        <v>2.8602686923384837E-10</v>
      </c>
      <c r="R37" s="18">
        <v>0</v>
      </c>
      <c r="S37" s="19">
        <v>0</v>
      </c>
      <c r="T37" s="18">
        <v>160.92936967113152</v>
      </c>
      <c r="U37" s="18">
        <v>828.15369826873723</v>
      </c>
      <c r="V37" s="18">
        <v>849.63048623363716</v>
      </c>
      <c r="W37" s="18">
        <v>0</v>
      </c>
      <c r="AB37" s="16">
        <v>2033.9940605525294</v>
      </c>
    </row>
    <row r="38" spans="1:28">
      <c r="B38" t="s">
        <v>2</v>
      </c>
      <c r="E38" t="s">
        <v>12</v>
      </c>
      <c r="F38" s="16">
        <v>413.92414565782718</v>
      </c>
      <c r="G38" s="16">
        <v>33.561735209460501</v>
      </c>
      <c r="H38" s="16">
        <v>971.51903696772501</v>
      </c>
      <c r="I38" s="16">
        <v>0.32045697075096558</v>
      </c>
      <c r="J38" s="16">
        <v>1189.7409447475443</v>
      </c>
      <c r="K38" s="16">
        <v>109.15152278513159</v>
      </c>
      <c r="L38" s="16">
        <v>1806.3126825494371</v>
      </c>
      <c r="M38" s="16">
        <v>2.1324145598826556</v>
      </c>
      <c r="O38" s="18">
        <v>41716.794048379728</v>
      </c>
      <c r="P38" s="18">
        <v>47569.819152870616</v>
      </c>
      <c r="Q38" s="18">
        <v>7.7465402188115435E-9</v>
      </c>
      <c r="R38" s="18">
        <v>0</v>
      </c>
      <c r="S38" s="19">
        <v>56.178649966596716</v>
      </c>
      <c r="T38" s="18">
        <v>11822800.169445265</v>
      </c>
      <c r="U38" s="18">
        <v>19374228.923176881</v>
      </c>
      <c r="V38" s="18">
        <v>1110182.5748296354</v>
      </c>
      <c r="W38" s="18">
        <v>2619872.1190798287</v>
      </c>
      <c r="AB38" s="16">
        <v>56036371.606391042</v>
      </c>
    </row>
    <row r="39" spans="1:28">
      <c r="F39" s="1" t="s">
        <v>120</v>
      </c>
      <c r="O39" s="15" t="s">
        <v>40</v>
      </c>
      <c r="P39" s="15"/>
      <c r="Q39" s="15"/>
      <c r="R39" s="15"/>
      <c r="S39" s="15"/>
      <c r="T39" s="15"/>
      <c r="U39" s="15"/>
      <c r="V39" s="15"/>
      <c r="AB39" s="1" t="s">
        <v>30</v>
      </c>
    </row>
    <row r="40" spans="1:28">
      <c r="A40" t="s">
        <v>4</v>
      </c>
      <c r="C40" t="s">
        <v>6</v>
      </c>
      <c r="E40" s="4" t="s">
        <v>11</v>
      </c>
      <c r="F40" s="18">
        <f t="array" ref="F40:M48">MMULT(F17:M25,_xlfn.MUNIT(8)*AB31:AB38)</f>
        <v>1077.8346017429619</v>
      </c>
      <c r="G40" s="18">
        <v>12.926293587660327</v>
      </c>
      <c r="H40" s="18">
        <v>0</v>
      </c>
      <c r="I40" s="19">
        <v>796432.09138500423</v>
      </c>
      <c r="J40" s="18">
        <v>0</v>
      </c>
      <c r="K40" s="18">
        <v>0</v>
      </c>
      <c r="L40" s="18">
        <v>0</v>
      </c>
      <c r="M40" s="18">
        <v>0</v>
      </c>
      <c r="O40" s="34">
        <f t="array" ref="O40:W48">MINVERSE(_xlfn.MUNIT(9)-MMULT(F17:M25,O8:W15))</f>
        <v>1.8934578349060469</v>
      </c>
      <c r="P40" s="34">
        <v>114.36576426639768</v>
      </c>
      <c r="Q40" s="34">
        <v>59.189382234599314</v>
      </c>
      <c r="R40" s="34">
        <v>67.490312606892715</v>
      </c>
      <c r="S40" s="44">
        <v>1.0986130934141218E-2</v>
      </c>
      <c r="T40" s="34">
        <v>4.7792441428796899E-2</v>
      </c>
      <c r="U40" s="34">
        <v>2.2645395203185243</v>
      </c>
      <c r="V40" s="34">
        <v>3.4893825295523038</v>
      </c>
      <c r="W40" s="34">
        <v>2.5864873127775303E-4</v>
      </c>
      <c r="AB40" s="16">
        <f t="array" ref="AB40:AB48">MMULT(F17:M25,AB31:AB38)</f>
        <v>797522.8522803348</v>
      </c>
    </row>
    <row r="41" spans="1:28">
      <c r="C41" t="s">
        <v>10</v>
      </c>
      <c r="E41" s="4" t="s">
        <v>11</v>
      </c>
      <c r="F41" s="18">
        <v>4611.9748123076961</v>
      </c>
      <c r="G41" s="18">
        <v>0.82783157727090806</v>
      </c>
      <c r="H41" s="18">
        <v>0</v>
      </c>
      <c r="I41" s="19">
        <v>0</v>
      </c>
      <c r="J41" s="18">
        <v>0</v>
      </c>
      <c r="K41" s="18">
        <v>0</v>
      </c>
      <c r="L41" s="18">
        <v>0</v>
      </c>
      <c r="M41" s="18">
        <v>0</v>
      </c>
      <c r="O41" s="34">
        <v>7.3100695210884309E-3</v>
      </c>
      <c r="P41" s="34">
        <v>1.750909235920969</v>
      </c>
      <c r="Q41" s="34">
        <v>0.41431212299726355</v>
      </c>
      <c r="R41" s="34">
        <v>0.40714042011005774</v>
      </c>
      <c r="S41" s="44">
        <v>8.7794423711809433E-5</v>
      </c>
      <c r="T41" s="34">
        <v>4.8400994283259073E-4</v>
      </c>
      <c r="U41" s="34">
        <v>2.1998404000298327E-2</v>
      </c>
      <c r="V41" s="34">
        <v>3.2857562526369101E-2</v>
      </c>
      <c r="W41" s="34">
        <v>2.7206043197704908E-6</v>
      </c>
      <c r="AB41" s="16">
        <v>4612.8026438849674</v>
      </c>
    </row>
    <row r="42" spans="1:28">
      <c r="C42" t="s">
        <v>24</v>
      </c>
      <c r="E42" s="4" t="s">
        <v>11</v>
      </c>
      <c r="F42" s="18">
        <v>0</v>
      </c>
      <c r="G42" s="18">
        <v>0</v>
      </c>
      <c r="H42" s="18">
        <v>2.4753183388612156E-9</v>
      </c>
      <c r="I42" s="19">
        <v>0</v>
      </c>
      <c r="J42" s="18">
        <v>0</v>
      </c>
      <c r="K42" s="18">
        <v>0</v>
      </c>
      <c r="L42" s="18">
        <v>0</v>
      </c>
      <c r="M42" s="18">
        <v>0</v>
      </c>
      <c r="O42" s="34">
        <v>0</v>
      </c>
      <c r="P42" s="34">
        <v>0</v>
      </c>
      <c r="Q42" s="34">
        <v>1.0000000000000719</v>
      </c>
      <c r="R42" s="34">
        <v>-6.2984752478258589E-14</v>
      </c>
      <c r="S42" s="44">
        <v>0</v>
      </c>
      <c r="T42" s="34">
        <v>1.9682735149455809E-15</v>
      </c>
      <c r="U42" s="34">
        <v>2.5193900991303436E-13</v>
      </c>
      <c r="V42" s="34">
        <v>2.5193900991303436E-13</v>
      </c>
      <c r="W42" s="34">
        <v>2.4603418936819761E-16</v>
      </c>
      <c r="AB42" s="16">
        <v>2.4753183388612156E-9</v>
      </c>
    </row>
    <row r="43" spans="1:28">
      <c r="C43" t="s">
        <v>26</v>
      </c>
      <c r="E43" s="4"/>
      <c r="F43" s="18">
        <v>0</v>
      </c>
      <c r="G43" s="18">
        <v>0</v>
      </c>
      <c r="H43" s="18">
        <v>0</v>
      </c>
      <c r="I43" s="19">
        <v>0</v>
      </c>
      <c r="J43" s="18">
        <v>0</v>
      </c>
      <c r="K43" s="18">
        <v>0</v>
      </c>
      <c r="L43" s="18">
        <v>0</v>
      </c>
      <c r="M43" s="18">
        <v>0</v>
      </c>
      <c r="O43" s="34">
        <v>0</v>
      </c>
      <c r="P43" s="34">
        <v>0</v>
      </c>
      <c r="Q43" s="34">
        <v>0</v>
      </c>
      <c r="R43" s="34">
        <v>1</v>
      </c>
      <c r="S43" s="44">
        <v>0</v>
      </c>
      <c r="T43" s="34">
        <v>0</v>
      </c>
      <c r="U43" s="34">
        <v>0</v>
      </c>
      <c r="V43" s="34">
        <v>0</v>
      </c>
      <c r="W43" s="34">
        <v>0</v>
      </c>
      <c r="AB43" s="16">
        <v>0</v>
      </c>
    </row>
    <row r="44" spans="1:28">
      <c r="C44" t="s">
        <v>2</v>
      </c>
      <c r="E44" s="4" t="s">
        <v>11</v>
      </c>
      <c r="F44" s="20">
        <v>0</v>
      </c>
      <c r="G44" s="20">
        <v>0</v>
      </c>
      <c r="H44" s="20">
        <v>0</v>
      </c>
      <c r="I44" s="21">
        <v>7880612.1657695631</v>
      </c>
      <c r="J44" s="20">
        <v>0</v>
      </c>
      <c r="K44" s="20">
        <v>0</v>
      </c>
      <c r="L44" s="20">
        <v>0</v>
      </c>
      <c r="M44" s="20">
        <v>0</v>
      </c>
      <c r="O44" s="34">
        <v>8.8236728526235524</v>
      </c>
      <c r="P44" s="34">
        <v>1129.8924269266467</v>
      </c>
      <c r="Q44" s="34">
        <v>584.70990976714472</v>
      </c>
      <c r="R44" s="34">
        <v>666.86300599546985</v>
      </c>
      <c r="S44" s="44">
        <v>1.1085029008672356</v>
      </c>
      <c r="T44" s="34">
        <v>0.47177546249915675</v>
      </c>
      <c r="U44" s="34">
        <v>22.356243237199028</v>
      </c>
      <c r="V44" s="34">
        <v>34.450715098483165</v>
      </c>
      <c r="W44" s="34">
        <v>2.5529796881802701E-3</v>
      </c>
      <c r="AB44" s="17">
        <v>7880612.1657695631</v>
      </c>
    </row>
    <row r="45" spans="1:28">
      <c r="A45" t="s">
        <v>8</v>
      </c>
      <c r="C45" t="s">
        <v>6</v>
      </c>
      <c r="E45" s="4" t="s">
        <v>11</v>
      </c>
      <c r="F45" s="18">
        <v>0</v>
      </c>
      <c r="G45" s="18">
        <v>0</v>
      </c>
      <c r="H45" s="18">
        <v>0</v>
      </c>
      <c r="I45" s="19">
        <v>0</v>
      </c>
      <c r="J45" s="18">
        <v>8269.0150475357077</v>
      </c>
      <c r="K45" s="18">
        <v>43.590312128710757</v>
      </c>
      <c r="L45" s="18">
        <v>0</v>
      </c>
      <c r="M45" s="18">
        <v>1945641.001598085</v>
      </c>
      <c r="O45" s="45">
        <v>0.10680497889672887</v>
      </c>
      <c r="P45" s="45">
        <v>17.840110817766266</v>
      </c>
      <c r="Q45" s="45">
        <v>33.997857459284802</v>
      </c>
      <c r="R45" s="45">
        <v>29.429188368348669</v>
      </c>
      <c r="S45" s="46">
        <v>1.5507295476644286E-3</v>
      </c>
      <c r="T45" s="45">
        <v>1.9582050333488692</v>
      </c>
      <c r="U45" s="45">
        <v>48.713531838845647</v>
      </c>
      <c r="V45" s="45">
        <v>63.084040055613968</v>
      </c>
      <c r="W45" s="45">
        <v>6.5112800262510425E-3</v>
      </c>
      <c r="AB45" s="16">
        <v>1953953.6069577495</v>
      </c>
    </row>
    <row r="46" spans="1:28">
      <c r="C46" t="s">
        <v>10</v>
      </c>
      <c r="E46" s="4" t="s">
        <v>11</v>
      </c>
      <c r="F46" s="18">
        <v>0</v>
      </c>
      <c r="G46" s="18">
        <v>0</v>
      </c>
      <c r="H46" s="18">
        <v>0</v>
      </c>
      <c r="I46" s="19">
        <v>0</v>
      </c>
      <c r="J46" s="18">
        <v>42515.531322213348</v>
      </c>
      <c r="K46" s="18">
        <v>2.7675320773092089</v>
      </c>
      <c r="L46" s="18">
        <v>0</v>
      </c>
      <c r="M46" s="18">
        <v>0</v>
      </c>
      <c r="O46" s="34">
        <v>4.1302858678843538E-3</v>
      </c>
      <c r="P46" s="34">
        <v>0.68910820814669127</v>
      </c>
      <c r="Q46" s="34">
        <v>1.3643759438258667</v>
      </c>
      <c r="R46" s="34">
        <v>1.1579073521611809</v>
      </c>
      <c r="S46" s="44">
        <v>6.2889305628014799E-5</v>
      </c>
      <c r="T46" s="34">
        <v>2.9730213392726305E-2</v>
      </c>
      <c r="U46" s="34">
        <v>2.1915501560829291</v>
      </c>
      <c r="V46" s="34">
        <v>1.8838717752104055</v>
      </c>
      <c r="W46" s="34">
        <v>1.8743063969918001E-4</v>
      </c>
      <c r="AB46" s="16">
        <v>42518.298854290661</v>
      </c>
    </row>
    <row r="47" spans="1:28">
      <c r="C47" t="s">
        <v>25</v>
      </c>
      <c r="E47" s="4" t="s">
        <v>11</v>
      </c>
      <c r="F47" s="18">
        <v>0</v>
      </c>
      <c r="G47" s="18">
        <v>0</v>
      </c>
      <c r="H47" s="18">
        <v>0</v>
      </c>
      <c r="I47" s="19">
        <v>0</v>
      </c>
      <c r="J47" s="18">
        <v>1360.8499621110489</v>
      </c>
      <c r="K47" s="18">
        <v>0</v>
      </c>
      <c r="L47" s="18">
        <v>2033.9940605525294</v>
      </c>
      <c r="M47" s="18">
        <v>0</v>
      </c>
      <c r="O47" s="16">
        <v>6.3420067271080071E-4</v>
      </c>
      <c r="P47" s="34">
        <v>0.12264726144280484</v>
      </c>
      <c r="Q47" s="34">
        <v>0.2696518951318132</v>
      </c>
      <c r="R47" s="34">
        <v>0.2548723576832439</v>
      </c>
      <c r="S47" s="44">
        <v>8.2884291534271819E-6</v>
      </c>
      <c r="T47" s="34">
        <v>2.2773856423986367E-3</v>
      </c>
      <c r="U47" s="34">
        <v>0.1140973209495012</v>
      </c>
      <c r="V47" s="34">
        <v>1.471521540945758</v>
      </c>
      <c r="W47" s="34">
        <v>1.3702359782339302E-5</v>
      </c>
      <c r="AB47" s="16">
        <v>3394.8440226635785</v>
      </c>
    </row>
    <row r="48" spans="1:28">
      <c r="C48" t="s">
        <v>2</v>
      </c>
      <c r="E48" s="4" t="s">
        <v>11</v>
      </c>
      <c r="F48" s="18">
        <v>0</v>
      </c>
      <c r="G48" s="18">
        <v>0</v>
      </c>
      <c r="H48" s="18">
        <v>0</v>
      </c>
      <c r="I48" s="19">
        <v>0</v>
      </c>
      <c r="J48" s="18">
        <v>8.6502862994485348</v>
      </c>
      <c r="K48" s="18">
        <v>0</v>
      </c>
      <c r="L48" s="18">
        <v>0</v>
      </c>
      <c r="M48" s="18">
        <v>54090730.60479296</v>
      </c>
      <c r="O48" s="34">
        <v>2.9469060730642984</v>
      </c>
      <c r="P48" s="34">
        <v>492.24046690722724</v>
      </c>
      <c r="Q48" s="34">
        <v>937.78716492433693</v>
      </c>
      <c r="R48" s="34">
        <v>811.89115283483659</v>
      </c>
      <c r="S48" s="44">
        <v>4.2771237078493479E-2</v>
      </c>
      <c r="T48" s="34">
        <v>26.477926059022973</v>
      </c>
      <c r="U48" s="34">
        <v>1347.8288911059349</v>
      </c>
      <c r="V48" s="34">
        <v>1743.5960141064597</v>
      </c>
      <c r="W48" s="34">
        <v>1.1800050773295869</v>
      </c>
      <c r="AB48" s="16">
        <v>54090739.255079262</v>
      </c>
    </row>
    <row r="49" spans="1:46">
      <c r="E49" s="4"/>
      <c r="F49" s="15"/>
      <c r="G49" s="15"/>
      <c r="H49" s="15"/>
      <c r="I49" s="15"/>
      <c r="J49" s="15"/>
      <c r="K49" s="15"/>
      <c r="L49" s="15"/>
      <c r="M49" s="15"/>
      <c r="AB49" s="15"/>
    </row>
    <row r="50" spans="1:46">
      <c r="D50" t="s">
        <v>19</v>
      </c>
      <c r="E50" s="4" t="s">
        <v>14</v>
      </c>
      <c r="N50" s="3" t="s">
        <v>31</v>
      </c>
      <c r="O50" s="22">
        <f t="array" ref="O50:W51">MMULT(O27:W28,_xlfn.MUNIT(9)*AB40:AB48)</f>
        <v>7.4430970120817799</v>
      </c>
      <c r="P50" s="22">
        <v>1.5506159414012231</v>
      </c>
      <c r="Q50" s="22">
        <v>3.3281551588285945E-13</v>
      </c>
      <c r="R50" s="22">
        <v>0</v>
      </c>
      <c r="S50" s="23">
        <v>6.8305258021346044E-2</v>
      </c>
      <c r="T50" s="22">
        <v>24.121492962935953</v>
      </c>
      <c r="U50" s="22">
        <v>7.2733214335227094</v>
      </c>
      <c r="V50" s="22">
        <v>0.35452883851478428</v>
      </c>
      <c r="W50" s="22">
        <v>0.32516377852805828</v>
      </c>
      <c r="AB50" s="61" t="s">
        <v>93</v>
      </c>
    </row>
    <row r="51" spans="1:46">
      <c r="D51" t="s">
        <v>20</v>
      </c>
      <c r="E51" s="4" t="s">
        <v>13</v>
      </c>
      <c r="N51" s="3"/>
      <c r="O51" s="18">
        <v>874.62913899446562</v>
      </c>
      <c r="P51" s="18">
        <v>744.82458602835845</v>
      </c>
      <c r="Q51" s="18">
        <v>1.8777402726854786E-9</v>
      </c>
      <c r="R51" s="18">
        <v>0</v>
      </c>
      <c r="S51" s="19">
        <v>587.90787817019429</v>
      </c>
      <c r="T51" s="18">
        <v>5310.0740128285943</v>
      </c>
      <c r="U51" s="18">
        <v>10245.482637653862</v>
      </c>
      <c r="V51" s="18">
        <v>2293.0953843686475</v>
      </c>
      <c r="W51" s="18">
        <v>7413.8873700712547</v>
      </c>
      <c r="AB51" s="18">
        <f>SUM(O51:W51,Y28:Z28)</f>
        <v>31690.654732437077</v>
      </c>
    </row>
    <row r="52" spans="1:46">
      <c r="E52" s="4"/>
      <c r="N52" s="3"/>
      <c r="O52" s="15"/>
      <c r="P52" s="15"/>
      <c r="Q52" s="15"/>
      <c r="R52" s="15"/>
      <c r="S52" s="15"/>
      <c r="T52" s="15"/>
      <c r="U52" s="15"/>
      <c r="V52" s="15"/>
      <c r="W52" s="15"/>
    </row>
    <row r="53" spans="1:46">
      <c r="A53" s="43"/>
      <c r="AB53" t="s">
        <v>46</v>
      </c>
      <c r="AF53" t="s">
        <v>47</v>
      </c>
      <c r="AJ53" t="s">
        <v>48</v>
      </c>
      <c r="AN53" t="s">
        <v>50</v>
      </c>
      <c r="AR53" t="s">
        <v>49</v>
      </c>
    </row>
    <row r="54" spans="1:46">
      <c r="AB54" t="s">
        <v>4</v>
      </c>
      <c r="AC54" t="s">
        <v>8</v>
      </c>
      <c r="AF54" t="s">
        <v>4</v>
      </c>
      <c r="AG54" t="s">
        <v>8</v>
      </c>
      <c r="AJ54" t="s">
        <v>4</v>
      </c>
      <c r="AK54" t="s">
        <v>8</v>
      </c>
      <c r="AN54" t="s">
        <v>4</v>
      </c>
      <c r="AO54" t="s">
        <v>8</v>
      </c>
      <c r="AR54" t="s">
        <v>4</v>
      </c>
      <c r="AS54" t="s">
        <v>8</v>
      </c>
    </row>
    <row r="55" spans="1:46">
      <c r="D55" t="s">
        <v>34</v>
      </c>
      <c r="E55" s="4" t="s">
        <v>14</v>
      </c>
      <c r="F55" s="39">
        <f t="array" ref="F55:M56">MMULT(MMULT(O27:W28,F17:M25),F31:M38)</f>
        <v>1.6412518984951E-3</v>
      </c>
      <c r="G55" s="39">
        <v>1.4252659332271504E-4</v>
      </c>
      <c r="H55" s="39">
        <v>1.5180902301587297E-3</v>
      </c>
      <c r="I55" s="47">
        <v>2.204940947152672E-6</v>
      </c>
      <c r="J55" s="39">
        <v>8.7452989120428949E-4</v>
      </c>
      <c r="K55" s="39">
        <v>8.9654389681152749E-5</v>
      </c>
      <c r="L55" s="39">
        <v>1.3090960175128554E-3</v>
      </c>
      <c r="M55" s="39">
        <v>1.1709930020879175E-6</v>
      </c>
      <c r="N55" s="1" t="s">
        <v>39</v>
      </c>
      <c r="Z55" t="s">
        <v>36</v>
      </c>
      <c r="AB55" s="42">
        <f t="array" ref="AB55:AC56">'Ex. 3a,b'!AB55:AC56</f>
        <v>1.5435715137695525</v>
      </c>
      <c r="AC55" s="39">
        <v>1.3107335625338521</v>
      </c>
      <c r="AF55" s="42">
        <f t="array" ref="AF55:AG56">'Ex. 3c'!AF55:AG56</f>
        <v>1.5655225601154459</v>
      </c>
      <c r="AG55" s="39">
        <v>1.310886865659989</v>
      </c>
      <c r="AJ55" s="42">
        <f>H55*1000</f>
        <v>1.5180902301587298</v>
      </c>
      <c r="AK55" s="39">
        <f>L55*1000</f>
        <v>1.3090960175128554</v>
      </c>
      <c r="AN55" s="48">
        <f t="array" ref="AN55:AO56">(AF55:AG56-AB55:AC56)/AB55:AC56</f>
        <v>1.4220945482653277E-2</v>
      </c>
      <c r="AO55" s="48">
        <v>1.1695979298841554E-4</v>
      </c>
      <c r="AR55" s="48">
        <f t="array" ref="AR55:AS56">(AJ55:AK56-AB55:AC56)/AB55:AC56</f>
        <v>-1.6508003279093242E-2</v>
      </c>
      <c r="AS55" s="48">
        <v>-1.249334775429903E-3</v>
      </c>
    </row>
    <row r="56" spans="1:46">
      <c r="D56" t="s">
        <v>20</v>
      </c>
      <c r="E56" s="4" t="s">
        <v>13</v>
      </c>
      <c r="F56" s="39">
        <v>0.69602536383368618</v>
      </c>
      <c r="G56" s="39">
        <v>5.7267633281168934E-2</v>
      </c>
      <c r="H56" s="39">
        <v>1.665854775489144</v>
      </c>
      <c r="I56" s="47">
        <v>6.8066315380869004E-4</v>
      </c>
      <c r="J56" s="39">
        <v>0.80973545807631431</v>
      </c>
      <c r="K56" s="39">
        <v>7.2274527921202938E-2</v>
      </c>
      <c r="L56" s="39">
        <v>1.870033747016622</v>
      </c>
      <c r="M56" s="39">
        <v>8.4530160966980782E-4</v>
      </c>
      <c r="Z56" t="s">
        <v>37</v>
      </c>
      <c r="AB56" s="39">
        <v>1.6409605824154903</v>
      </c>
      <c r="AC56" s="39">
        <v>1.8684339311460068</v>
      </c>
      <c r="AF56" s="39">
        <v>1.4014082114791759</v>
      </c>
      <c r="AG56" s="39">
        <v>1.8667609299216146</v>
      </c>
      <c r="AJ56" s="39">
        <f>H56</f>
        <v>1.665854775489144</v>
      </c>
      <c r="AK56" s="39">
        <f>L56</f>
        <v>1.870033747016622</v>
      </c>
      <c r="AN56" s="48">
        <v>-0.145983013549109</v>
      </c>
      <c r="AO56" s="48">
        <v>-8.9540293424560157E-4</v>
      </c>
      <c r="AR56" s="48">
        <v>1.5170500340117559E-2</v>
      </c>
      <c r="AS56" s="48">
        <v>8.5623357826409522E-4</v>
      </c>
    </row>
    <row r="57" spans="1:46">
      <c r="E57" s="4"/>
      <c r="F57" s="41"/>
      <c r="G57" s="41"/>
      <c r="H57" s="41"/>
      <c r="I57" s="41"/>
      <c r="J57" s="41"/>
      <c r="K57" s="41"/>
      <c r="L57" s="41"/>
      <c r="M57" s="41"/>
      <c r="N57" s="1"/>
      <c r="AB57" s="41"/>
      <c r="AC57" s="41"/>
      <c r="AF57" s="41"/>
      <c r="AG57" s="41"/>
      <c r="AJ57" s="41"/>
      <c r="AK57" s="41"/>
      <c r="AM57" s="49"/>
      <c r="AQ57" s="49"/>
      <c r="AR57" s="49"/>
    </row>
    <row r="58" spans="1:46">
      <c r="AB58" t="s">
        <v>46</v>
      </c>
      <c r="AF58" t="s">
        <v>47</v>
      </c>
      <c r="AJ58" t="s">
        <v>48</v>
      </c>
      <c r="AN58" t="s">
        <v>50</v>
      </c>
      <c r="AR58" t="s">
        <v>49</v>
      </c>
    </row>
    <row r="59" spans="1:46">
      <c r="AB59" t="s">
        <v>4</v>
      </c>
      <c r="AD59" t="s">
        <v>8</v>
      </c>
      <c r="AF59" t="s">
        <v>4</v>
      </c>
      <c r="AH59" t="s">
        <v>8</v>
      </c>
      <c r="AJ59" t="s">
        <v>4</v>
      </c>
      <c r="AL59" t="s">
        <v>8</v>
      </c>
      <c r="AN59" t="s">
        <v>4</v>
      </c>
      <c r="AP59" t="s">
        <v>8</v>
      </c>
      <c r="AR59" t="s">
        <v>4</v>
      </c>
      <c r="AT59" t="s">
        <v>8</v>
      </c>
    </row>
    <row r="60" spans="1:46">
      <c r="A60" s="43"/>
      <c r="AB60" t="s">
        <v>42</v>
      </c>
      <c r="AC60" t="s">
        <v>43</v>
      </c>
      <c r="AD60" t="s">
        <v>44</v>
      </c>
      <c r="AF60" t="s">
        <v>42</v>
      </c>
      <c r="AG60" t="s">
        <v>43</v>
      </c>
      <c r="AH60" t="s">
        <v>44</v>
      </c>
      <c r="AJ60" t="s">
        <v>42</v>
      </c>
      <c r="AK60" t="s">
        <v>43</v>
      </c>
      <c r="AL60" t="s">
        <v>44</v>
      </c>
      <c r="AN60" t="s">
        <v>42</v>
      </c>
      <c r="AO60" t="s">
        <v>43</v>
      </c>
      <c r="AP60" t="s">
        <v>44</v>
      </c>
      <c r="AR60" t="s">
        <v>42</v>
      </c>
      <c r="AS60" t="s">
        <v>43</v>
      </c>
      <c r="AT60" t="s">
        <v>44</v>
      </c>
    </row>
    <row r="61" spans="1:46">
      <c r="D61" t="s">
        <v>34</v>
      </c>
      <c r="E61" s="4" t="s">
        <v>14</v>
      </c>
      <c r="N61" s="3" t="s">
        <v>41</v>
      </c>
      <c r="O61" s="39">
        <f t="array" ref="O61:W62">MMULT(O27:W28,O40:W48)</f>
        <v>2.2313990288817614E-5</v>
      </c>
      <c r="P61" s="39">
        <v>2.0196033350383998E-3</v>
      </c>
      <c r="Q61" s="39">
        <v>1.5180902301587427E-3</v>
      </c>
      <c r="R61" s="39">
        <v>1.5670694310524877E-3</v>
      </c>
      <c r="S61" s="47">
        <v>1.7267595478168747E-7</v>
      </c>
      <c r="T61" s="39">
        <v>3.0269554637786844E-5</v>
      </c>
      <c r="U61" s="39">
        <v>1.0250016315346958E-3</v>
      </c>
      <c r="V61" s="39">
        <v>1.3090960175129358E-3</v>
      </c>
      <c r="W61" s="39">
        <v>1.2431912704650436E-7</v>
      </c>
      <c r="Z61" t="s">
        <v>36</v>
      </c>
      <c r="AB61" s="40">
        <f t="array" ref="AB61:AD62">'Ex. 3a,b'!AB73:AD74</f>
        <v>1.5435715137695345</v>
      </c>
      <c r="AC61" s="40">
        <v>1.5924909770243574</v>
      </c>
      <c r="AD61" s="40">
        <v>1.3107335625338159</v>
      </c>
      <c r="AF61" s="40">
        <f t="array" ref="AF61:AH62">'Ex. 3c'!AF61:AH62</f>
        <v>1.5459570118127619</v>
      </c>
      <c r="AG61" s="40">
        <v>1.5948708825698446</v>
      </c>
      <c r="AH61" s="40">
        <v>1.3108868656603081</v>
      </c>
      <c r="AJ61" s="40">
        <f>Q61*1000</f>
        <v>1.5180902301587427</v>
      </c>
      <c r="AK61" s="40">
        <f>R61*1000</f>
        <v>1.5670694310524877</v>
      </c>
      <c r="AL61" s="40">
        <f>V61*1000</f>
        <v>1.3090960175129358</v>
      </c>
      <c r="AN61" s="48">
        <f t="array" ref="AN61:AP62">(AF61:AH62-AB61:AD62)/AB61:AD62</f>
        <v>1.5454405720417941E-3</v>
      </c>
      <c r="AO61" s="48">
        <v>1.4944546498681793E-3</v>
      </c>
      <c r="AP61" s="48">
        <v>1.1695979325946651E-4</v>
      </c>
      <c r="AR61" s="48">
        <f t="array" ref="AR61:AT62">(AJ61:AL62-AB61:AD62)/AB61:AD62</f>
        <v>-1.6508003279073438E-2</v>
      </c>
      <c r="AS61" s="48">
        <v>-1.5963384621099051E-2</v>
      </c>
      <c r="AT61" s="48">
        <v>-1.2493347753409999E-3</v>
      </c>
    </row>
    <row r="62" spans="1:46">
      <c r="D62" t="s">
        <v>20</v>
      </c>
      <c r="E62" s="4" t="s">
        <v>13</v>
      </c>
      <c r="O62" s="39">
        <v>6.0329412180318677E-3</v>
      </c>
      <c r="P62" s="39">
        <v>0.85727899992269407</v>
      </c>
      <c r="Q62" s="39">
        <v>1.6658547754891915</v>
      </c>
      <c r="R62" s="39">
        <v>1.1319369697488886</v>
      </c>
      <c r="S62" s="47">
        <v>1.3975009747546984E-4</v>
      </c>
      <c r="T62" s="39">
        <v>1.7818832064900831E-2</v>
      </c>
      <c r="U62" s="39">
        <v>0.92998483199504567</v>
      </c>
      <c r="V62" s="39">
        <v>1.8700337470168724</v>
      </c>
      <c r="W62" s="39">
        <v>2.3476452824547264E-4</v>
      </c>
      <c r="Z62" t="s">
        <v>37</v>
      </c>
      <c r="AB62" s="40">
        <v>1.6409605824155182</v>
      </c>
      <c r="AC62" s="40">
        <v>1.107101137954877</v>
      </c>
      <c r="AD62" s="40">
        <v>1.8684339311461173</v>
      </c>
      <c r="AF62" s="40">
        <v>1.6149275768310518</v>
      </c>
      <c r="AG62" s="40">
        <v>1.0811291634515796</v>
      </c>
      <c r="AH62" s="40">
        <v>1.8667609299219221</v>
      </c>
      <c r="AJ62" s="40">
        <f>Q62</f>
        <v>1.6658547754891915</v>
      </c>
      <c r="AK62" s="40">
        <f>R62</f>
        <v>1.1319369697488886</v>
      </c>
      <c r="AL62" s="40">
        <f>V62</f>
        <v>1.8700337470168724</v>
      </c>
      <c r="AN62" s="48">
        <v>-1.5864491727245179E-2</v>
      </c>
      <c r="AO62" s="48">
        <v>-2.3459441610975851E-2</v>
      </c>
      <c r="AP62" s="48">
        <v>-8.9540293414013753E-4</v>
      </c>
      <c r="AR62" s="48">
        <v>1.5170500340129208E-2</v>
      </c>
      <c r="AS62" s="48">
        <v>2.243320952581648E-2</v>
      </c>
      <c r="AT62" s="48">
        <v>8.5623357833891373E-4</v>
      </c>
    </row>
    <row r="65" spans="40:40">
      <c r="AN65" t="s">
        <v>92</v>
      </c>
    </row>
    <row r="66" spans="40:40">
      <c r="AN66" t="s">
        <v>94</v>
      </c>
    </row>
    <row r="68" spans="40:40">
      <c r="AN68" t="s">
        <v>95</v>
      </c>
    </row>
    <row r="69" spans="40:40">
      <c r="AN69" t="str">
        <f>_xlfn.CONCAT("- baseline: ",ROUND('Ex. 3a,b'!AB51,2)," Mton")</f>
        <v>- baseline: 31654.72 Mton</v>
      </c>
    </row>
    <row r="70" spans="40:40">
      <c r="AN70" t="str">
        <f>_xlfn.CONCAT("- greensteel: ",ROUND('Ex. 3c'!AB51,2)," Mton --&gt; ",ROUND(('Ex. 3c'!AB51/'Ex. 3a,b'!AB51-1)*100,2),"% from baseline")</f>
        <v>- greensteel: 31618.67 Mton --&gt; -0.11% from baseline</v>
      </c>
    </row>
    <row r="71" spans="40:40">
      <c r="AN71" t="str">
        <f>_xlfn.CONCAT("- offshoring: ",ROUND(AB51,2)," Mton --&gt; ",ROUND(('Ex. 3d'!AB51/'Ex. 3a,b'!AB51-1)*100,2),"% from baseline")</f>
        <v>- offshoring: 31690.65 Mton --&gt; 0.11% from baseline</v>
      </c>
    </row>
    <row r="73" spans="40:40">
      <c r="AN73" t="s">
        <v>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70A6-781B-4C4F-A785-9D684FA10760}">
  <dimension ref="A1:BC65"/>
  <sheetViews>
    <sheetView showGridLines="0" zoomScale="82" workbookViewId="0">
      <pane xSplit="5" ySplit="5" topLeftCell="G6" activePane="bottomRight" state="frozen"/>
      <selection activeCell="Z63" sqref="Z63"/>
      <selection pane="topRight" activeCell="Z63" sqref="Z63"/>
      <selection pane="bottomLeft" activeCell="Z63" sqref="Z63"/>
      <selection pane="bottomRight" activeCell="Z63" sqref="Z63"/>
    </sheetView>
  </sheetViews>
  <sheetFormatPr defaultColWidth="11.5546875" defaultRowHeight="14.4"/>
  <cols>
    <col min="1" max="1" width="6.6640625" bestFit="1" customWidth="1"/>
    <col min="2" max="2" width="11.44140625" bestFit="1" customWidth="1"/>
    <col min="3" max="3" width="10" customWidth="1"/>
    <col min="4" max="4" width="10.6640625" customWidth="1"/>
    <col min="5" max="5" width="7.33203125" customWidth="1"/>
    <col min="6" max="13" width="6.6640625" customWidth="1"/>
    <col min="14" max="14" width="3" customWidth="1"/>
    <col min="15" max="23" width="6.6640625" customWidth="1"/>
    <col min="24" max="24" width="7.6640625" customWidth="1"/>
    <col min="25" max="26" width="7.44140625" customWidth="1"/>
    <col min="27" max="27" width="3.109375" customWidth="1"/>
    <col min="28" max="38" width="7.44140625" customWidth="1"/>
    <col min="39" max="43" width="6.77734375" customWidth="1"/>
  </cols>
  <sheetData>
    <row r="1" spans="1:30">
      <c r="A1" s="6" t="s">
        <v>3</v>
      </c>
      <c r="B1" s="6"/>
      <c r="C1" s="6"/>
      <c r="D1" s="6"/>
      <c r="E1" s="6"/>
      <c r="F1" t="s">
        <v>4</v>
      </c>
      <c r="J1" t="s">
        <v>8</v>
      </c>
      <c r="O1" t="s">
        <v>4</v>
      </c>
      <c r="S1" t="s">
        <v>8</v>
      </c>
      <c r="Y1" t="s">
        <v>4</v>
      </c>
      <c r="Z1" t="s">
        <v>8</v>
      </c>
    </row>
    <row r="2" spans="1:30" ht="33" customHeight="1">
      <c r="A2" s="6"/>
      <c r="B2" s="6" t="s">
        <v>32</v>
      </c>
      <c r="C2" s="6"/>
      <c r="D2" s="6"/>
      <c r="E2" s="6"/>
      <c r="F2" s="5" t="s">
        <v>5</v>
      </c>
      <c r="G2" s="5" t="s">
        <v>6</v>
      </c>
      <c r="H2" s="5" t="s">
        <v>7</v>
      </c>
      <c r="I2" s="5" t="s">
        <v>2</v>
      </c>
      <c r="J2" s="5" t="s">
        <v>5</v>
      </c>
      <c r="K2" s="5" t="s">
        <v>6</v>
      </c>
      <c r="L2" s="5" t="s">
        <v>7</v>
      </c>
      <c r="M2" s="5" t="s">
        <v>2</v>
      </c>
      <c r="N2" s="5"/>
    </row>
    <row r="3" spans="1:30" ht="66.599999999999994">
      <c r="A3" s="6"/>
      <c r="B3" s="6"/>
      <c r="C3" s="6" t="s">
        <v>33</v>
      </c>
      <c r="D3" s="6"/>
      <c r="E3" s="6"/>
      <c r="O3" s="5" t="s">
        <v>6</v>
      </c>
      <c r="P3" s="5" t="s">
        <v>10</v>
      </c>
      <c r="Q3" s="5" t="s">
        <v>24</v>
      </c>
      <c r="R3" s="5" t="s">
        <v>26</v>
      </c>
      <c r="S3" s="5" t="s">
        <v>2</v>
      </c>
      <c r="T3" s="5" t="s">
        <v>6</v>
      </c>
      <c r="U3" s="5" t="s">
        <v>10</v>
      </c>
      <c r="V3" s="5" t="s">
        <v>25</v>
      </c>
      <c r="W3" s="5" t="s">
        <v>2</v>
      </c>
      <c r="Y3" s="5" t="s">
        <v>22</v>
      </c>
      <c r="Z3" s="5" t="s">
        <v>22</v>
      </c>
      <c r="AA3" s="5"/>
    </row>
    <row r="4" spans="1:30">
      <c r="A4" s="6"/>
      <c r="B4" s="6"/>
      <c r="C4" s="6"/>
      <c r="D4" s="7" t="s">
        <v>53</v>
      </c>
      <c r="E4" s="6"/>
    </row>
    <row r="5" spans="1:30">
      <c r="A5" s="6"/>
      <c r="B5" s="6"/>
      <c r="C5" s="6"/>
      <c r="D5" s="6"/>
      <c r="E5" s="6" t="s">
        <v>9</v>
      </c>
      <c r="F5" t="s">
        <v>13</v>
      </c>
      <c r="G5" t="s">
        <v>14</v>
      </c>
      <c r="H5" t="s">
        <v>13</v>
      </c>
      <c r="I5" t="s">
        <v>12</v>
      </c>
      <c r="J5" t="s">
        <v>13</v>
      </c>
      <c r="K5" t="s">
        <v>14</v>
      </c>
      <c r="L5" t="s">
        <v>13</v>
      </c>
      <c r="M5" t="s">
        <v>12</v>
      </c>
      <c r="O5" s="2" t="s">
        <v>11</v>
      </c>
      <c r="P5" s="2" t="s">
        <v>11</v>
      </c>
      <c r="Q5" s="2" t="s">
        <v>11</v>
      </c>
      <c r="R5" s="2" t="s">
        <v>11</v>
      </c>
      <c r="S5" s="2" t="s">
        <v>11</v>
      </c>
      <c r="T5" s="2" t="s">
        <v>11</v>
      </c>
      <c r="U5" s="2" t="s">
        <v>11</v>
      </c>
      <c r="V5" s="2" t="s">
        <v>11</v>
      </c>
    </row>
    <row r="6" spans="1:30">
      <c r="A6" s="36" t="s">
        <v>97</v>
      </c>
      <c r="B6" s="6"/>
      <c r="C6" s="6"/>
      <c r="D6" s="6"/>
      <c r="E6" s="6"/>
      <c r="O6" s="2"/>
      <c r="P6" s="2"/>
      <c r="Q6" s="2"/>
      <c r="R6" s="2"/>
      <c r="S6" s="2"/>
      <c r="T6" s="2"/>
      <c r="U6" s="2"/>
      <c r="V6" s="2"/>
    </row>
    <row r="7" spans="1:30">
      <c r="Y7" s="1" t="s">
        <v>21</v>
      </c>
      <c r="AB7" s="1" t="s">
        <v>28</v>
      </c>
    </row>
    <row r="8" spans="1:30">
      <c r="A8" t="s">
        <v>4</v>
      </c>
      <c r="B8" t="s">
        <v>5</v>
      </c>
      <c r="E8" t="s">
        <v>13</v>
      </c>
      <c r="N8" s="3" t="s">
        <v>15</v>
      </c>
      <c r="O8" s="24">
        <f t="array" ref="O8:W15">'Ex. 3a,b'!O8:W15</f>
        <v>3.5125779492936287E-3</v>
      </c>
      <c r="P8" s="24">
        <v>0.27055147676963526</v>
      </c>
      <c r="Q8" s="24">
        <v>0.15827162508874215</v>
      </c>
      <c r="R8" s="24">
        <v>0.12</v>
      </c>
      <c r="S8" s="25">
        <v>4.1115841657158798E-5</v>
      </c>
      <c r="T8" s="24">
        <v>8.1908449500277985E-5</v>
      </c>
      <c r="U8" s="24">
        <v>3.3905805890108824E-3</v>
      </c>
      <c r="V8" s="24">
        <v>3.9752338900787623E-3</v>
      </c>
      <c r="W8" s="24">
        <v>3.2484095634919501E-7</v>
      </c>
      <c r="Y8" s="50">
        <f t="array" ref="Y8:Z15">'Ex. 3a,b'!Y8:Z15</f>
        <v>835.54777745223998</v>
      </c>
      <c r="Z8" s="9">
        <v>145.60866670548177</v>
      </c>
      <c r="AA8" s="15"/>
      <c r="AB8" s="16">
        <f t="shared" ref="AB8:AB15" si="0">SUM(Y8:Z8)</f>
        <v>981.15644415772181</v>
      </c>
    </row>
    <row r="9" spans="1:30">
      <c r="B9" t="s">
        <v>6</v>
      </c>
      <c r="E9" t="s">
        <v>14</v>
      </c>
      <c r="O9" s="24">
        <v>4.5711092023886639E-6</v>
      </c>
      <c r="P9" s="24">
        <v>2.1778395399500096E-4</v>
      </c>
      <c r="Q9" s="24">
        <v>1.4460696673718849E-4</v>
      </c>
      <c r="R9" s="24">
        <v>1.4460696673718849E-4</v>
      </c>
      <c r="S9" s="25">
        <v>5.2547112481212482E-9</v>
      </c>
      <c r="T9" s="24">
        <v>1.4657736982926854E-7</v>
      </c>
      <c r="U9" s="24">
        <v>2.9643635201485096E-6</v>
      </c>
      <c r="V9" s="24">
        <v>2.0349831834856871E-6</v>
      </c>
      <c r="W9" s="24">
        <v>5.9382573677841501E-11</v>
      </c>
      <c r="Y9" s="25">
        <v>8.1689306237507644</v>
      </c>
      <c r="Z9" s="9">
        <v>0.47106017948831502</v>
      </c>
      <c r="AA9" s="15"/>
      <c r="AB9" s="16">
        <f t="shared" si="0"/>
        <v>8.6399908032390798</v>
      </c>
      <c r="AD9" s="8"/>
    </row>
    <row r="10" spans="1:30">
      <c r="B10" t="s">
        <v>7</v>
      </c>
      <c r="E10" t="s">
        <v>13</v>
      </c>
      <c r="O10" s="24">
        <v>1.1217512347926108E-5</v>
      </c>
      <c r="P10" s="24">
        <v>2.2327815820284484E-2</v>
      </c>
      <c r="Q10" s="24">
        <v>9.7684465828781222E-2</v>
      </c>
      <c r="R10" s="24">
        <v>9.7684465828781222E-2</v>
      </c>
      <c r="S10" s="25">
        <v>0</v>
      </c>
      <c r="T10" s="24">
        <v>3.0386983064855949E-6</v>
      </c>
      <c r="U10" s="24">
        <v>6.1167070108518364E-4</v>
      </c>
      <c r="V10" s="24">
        <v>3.3408951941073105E-3</v>
      </c>
      <c r="W10" s="24">
        <v>0</v>
      </c>
      <c r="Y10" s="25">
        <v>1.981798904333812</v>
      </c>
      <c r="Z10" s="9">
        <v>0.77720379530472494</v>
      </c>
      <c r="AA10" s="15"/>
      <c r="AB10" s="16">
        <f t="shared" si="0"/>
        <v>2.7590026996385371</v>
      </c>
    </row>
    <row r="11" spans="1:30">
      <c r="B11" t="s">
        <v>2</v>
      </c>
      <c r="E11" t="s">
        <v>12</v>
      </c>
      <c r="O11" s="26">
        <v>3.0778015177769711</v>
      </c>
      <c r="P11" s="26">
        <v>483.15055506033173</v>
      </c>
      <c r="Q11" s="26">
        <v>234.22695024215588</v>
      </c>
      <c r="R11" s="26">
        <v>300</v>
      </c>
      <c r="S11" s="27">
        <v>3.8828749371217115E-2</v>
      </c>
      <c r="T11" s="26">
        <v>2.6646337381623513E-2</v>
      </c>
      <c r="U11" s="26">
        <v>2.0564663648075712</v>
      </c>
      <c r="V11" s="26">
        <v>3.0057870070316599</v>
      </c>
      <c r="W11" s="26">
        <v>1.014030941430635E-6</v>
      </c>
      <c r="Y11" s="14">
        <v>3454409.2918194081</v>
      </c>
      <c r="Z11" s="13">
        <v>83583.261411934014</v>
      </c>
      <c r="AA11" s="52"/>
      <c r="AB11" s="17">
        <f t="shared" si="0"/>
        <v>3537992.5532313422</v>
      </c>
    </row>
    <row r="12" spans="1:30">
      <c r="A12" t="s">
        <v>8</v>
      </c>
      <c r="B12" t="s">
        <v>5</v>
      </c>
      <c r="E12" t="s">
        <v>13</v>
      </c>
      <c r="O12" s="24">
        <v>3.9488973072122864E-4</v>
      </c>
      <c r="P12" s="24">
        <v>0.13987704970409229</v>
      </c>
      <c r="Q12" s="24">
        <v>0.51737763554589511</v>
      </c>
      <c r="R12" s="24">
        <v>0.4</v>
      </c>
      <c r="S12" s="25">
        <v>1.2466997366732116E-5</v>
      </c>
      <c r="T12" s="24">
        <v>1.2049567506561484E-2</v>
      </c>
      <c r="U12" s="24">
        <v>0.32560213310586744</v>
      </c>
      <c r="V12" s="24">
        <v>0.549940514603386</v>
      </c>
      <c r="W12" s="24">
        <v>6.981505861539915E-5</v>
      </c>
      <c r="Y12" s="50">
        <v>585.7878886264366</v>
      </c>
      <c r="Z12" s="9">
        <v>7478.1972541558725</v>
      </c>
      <c r="AA12" s="15"/>
      <c r="AB12" s="16">
        <f t="shared" si="0"/>
        <v>8063.9851427823087</v>
      </c>
    </row>
    <row r="13" spans="1:30">
      <c r="B13" t="s">
        <v>6</v>
      </c>
      <c r="E13" t="s">
        <v>14</v>
      </c>
      <c r="F13" s="8"/>
      <c r="O13" s="24">
        <v>3.1023561720495332E-7</v>
      </c>
      <c r="P13" s="24">
        <v>1.7648369730282666E-5</v>
      </c>
      <c r="Q13" s="24">
        <v>9.8309998879296497E-6</v>
      </c>
      <c r="R13" s="24">
        <v>9.8309998879296497E-6</v>
      </c>
      <c r="S13" s="25">
        <v>4.1399413888669278E-10</v>
      </c>
      <c r="T13" s="24">
        <v>5.8021191434317627E-6</v>
      </c>
      <c r="U13" s="24">
        <v>8.7224283068274662E-5</v>
      </c>
      <c r="V13" s="24">
        <v>6.5546676671697596E-5</v>
      </c>
      <c r="W13" s="24">
        <v>1.8183213575593468E-9</v>
      </c>
      <c r="Y13" s="25">
        <v>0.317073594229689</v>
      </c>
      <c r="Z13" s="9">
        <v>30.342104790585111</v>
      </c>
      <c r="AA13" s="15"/>
      <c r="AB13" s="16">
        <f t="shared" si="0"/>
        <v>30.659178384814801</v>
      </c>
    </row>
    <row r="14" spans="1:30">
      <c r="B14" t="s">
        <v>7</v>
      </c>
      <c r="E14" t="s">
        <v>13</v>
      </c>
      <c r="O14" s="24">
        <v>6.0084533875747827E-6</v>
      </c>
      <c r="P14" s="24">
        <v>7.9615616779039923E-3</v>
      </c>
      <c r="Q14" s="24">
        <v>1.7867083538980769E-2</v>
      </c>
      <c r="R14" s="24">
        <v>1.7867083538980769E-2</v>
      </c>
      <c r="S14" s="25">
        <v>0</v>
      </c>
      <c r="T14" s="24">
        <v>7.9322197621690507E-5</v>
      </c>
      <c r="U14" s="24">
        <v>1.8865912376892675E-2</v>
      </c>
      <c r="V14" s="24">
        <v>0.24692995099546847</v>
      </c>
      <c r="W14" s="24">
        <v>0</v>
      </c>
      <c r="Y14" s="25">
        <v>0.60543500175889631</v>
      </c>
      <c r="Z14" s="9">
        <v>38.459046745641096</v>
      </c>
      <c r="AA14" s="15"/>
      <c r="AB14" s="16">
        <f t="shared" si="0"/>
        <v>39.064481747399995</v>
      </c>
    </row>
    <row r="15" spans="1:30">
      <c r="B15" t="s">
        <v>2</v>
      </c>
      <c r="E15" t="s">
        <v>12</v>
      </c>
      <c r="O15" s="24">
        <v>5.230796074256689E-2</v>
      </c>
      <c r="P15" s="24">
        <v>10.312563277757455</v>
      </c>
      <c r="Q15" s="24">
        <v>3.1295127164837244</v>
      </c>
      <c r="R15" s="24">
        <v>5</v>
      </c>
      <c r="S15" s="25">
        <v>7.1287164987785846E-6</v>
      </c>
      <c r="T15" s="24">
        <v>6.0507066940309961</v>
      </c>
      <c r="U15" s="24">
        <v>455.66801695364074</v>
      </c>
      <c r="V15" s="24">
        <v>327.02020105141429</v>
      </c>
      <c r="W15" s="24">
        <v>4.8434762681373707E-2</v>
      </c>
      <c r="Y15" s="50">
        <v>50504.880188880001</v>
      </c>
      <c r="Z15" s="9">
        <v>20969440.147819322</v>
      </c>
      <c r="AA15" s="15"/>
      <c r="AB15" s="16">
        <f t="shared" si="0"/>
        <v>21019945.0280082</v>
      </c>
    </row>
    <row r="16" spans="1:30">
      <c r="F16" s="1" t="s">
        <v>90</v>
      </c>
      <c r="O16" s="15"/>
      <c r="P16" s="15"/>
      <c r="Q16" s="15"/>
      <c r="R16" s="15"/>
      <c r="S16" s="15"/>
      <c r="T16" s="15"/>
      <c r="U16" s="15"/>
      <c r="V16" s="15"/>
      <c r="W16" s="15"/>
      <c r="Y16" s="15"/>
      <c r="Z16" s="15"/>
      <c r="AA16" s="15"/>
    </row>
    <row r="17" spans="1:29">
      <c r="A17" t="s">
        <v>4</v>
      </c>
      <c r="C17" t="s">
        <v>6</v>
      </c>
      <c r="E17" s="4" t="s">
        <v>11</v>
      </c>
      <c r="F17" s="24">
        <f t="array" ref="F17:G25">'Ex. 3a,b'!F17:G25</f>
        <v>0.18943246131958499</v>
      </c>
      <c r="G17" s="24">
        <v>0.93981212419226612</v>
      </c>
      <c r="H17" s="24">
        <f t="array" ref="H17:H18">'Ex. 3a,b'!H17:H18</f>
        <v>0</v>
      </c>
      <c r="I17" s="25">
        <f t="array" ref="I17:M25">'Ex. 3a,b'!I17:M25</f>
        <v>9.1786104551479536E-2</v>
      </c>
      <c r="J17" s="24">
        <v>0</v>
      </c>
      <c r="K17" s="24">
        <v>0</v>
      </c>
      <c r="L17" s="24">
        <v>0</v>
      </c>
      <c r="M17" s="24">
        <v>0</v>
      </c>
      <c r="O17" s="15"/>
      <c r="P17" s="15"/>
      <c r="Q17" s="15"/>
      <c r="R17" s="15"/>
      <c r="S17" s="15"/>
      <c r="T17" s="15"/>
      <c r="U17" s="15"/>
      <c r="V17" s="15"/>
      <c r="W17" s="15"/>
    </row>
    <row r="18" spans="1:29">
      <c r="C18" t="s">
        <v>10</v>
      </c>
      <c r="E18" s="4" t="s">
        <v>11</v>
      </c>
      <c r="F18" s="24">
        <v>0.81056753868041498</v>
      </c>
      <c r="G18" s="24">
        <v>6.0187875807733854E-2</v>
      </c>
      <c r="H18" s="24">
        <v>0</v>
      </c>
      <c r="I18" s="25">
        <v>0</v>
      </c>
      <c r="J18" s="24">
        <v>0</v>
      </c>
      <c r="K18" s="24">
        <v>0</v>
      </c>
      <c r="L18" s="24">
        <v>0</v>
      </c>
      <c r="M18" s="24">
        <v>0</v>
      </c>
      <c r="O18" s="15"/>
      <c r="P18" s="15"/>
      <c r="Q18" s="15"/>
      <c r="R18" s="15"/>
      <c r="S18" s="15"/>
      <c r="T18" s="15"/>
      <c r="U18" s="15"/>
      <c r="V18" s="15"/>
      <c r="W18" s="15"/>
    </row>
    <row r="19" spans="1:29">
      <c r="C19" t="s">
        <v>24</v>
      </c>
      <c r="E19" s="4" t="s">
        <v>11</v>
      </c>
      <c r="F19" s="24">
        <v>0</v>
      </c>
      <c r="G19" s="24">
        <v>0</v>
      </c>
      <c r="H19" s="68">
        <f>1-H20</f>
        <v>0.71873427698979098</v>
      </c>
      <c r="I19" s="25">
        <v>0</v>
      </c>
      <c r="J19" s="24">
        <v>0</v>
      </c>
      <c r="K19" s="24">
        <v>0</v>
      </c>
      <c r="L19" s="24">
        <v>0</v>
      </c>
      <c r="M19" s="24">
        <v>0</v>
      </c>
      <c r="O19" s="15"/>
      <c r="P19" s="15"/>
      <c r="Q19" s="15"/>
      <c r="R19" s="15"/>
      <c r="S19" s="15"/>
      <c r="T19" s="15"/>
      <c r="U19" s="15"/>
      <c r="V19" s="15"/>
      <c r="W19" s="15"/>
    </row>
    <row r="20" spans="1:29">
      <c r="C20" t="s">
        <v>26</v>
      </c>
      <c r="E20" s="4" t="s">
        <v>11</v>
      </c>
      <c r="F20" s="24">
        <v>0</v>
      </c>
      <c r="G20" s="24">
        <v>0</v>
      </c>
      <c r="H20" s="71">
        <v>0.28126572301020902</v>
      </c>
      <c r="I20" s="25">
        <v>0</v>
      </c>
      <c r="J20" s="24">
        <v>0</v>
      </c>
      <c r="K20" s="24">
        <v>0</v>
      </c>
      <c r="L20" s="24">
        <v>0</v>
      </c>
      <c r="M20" s="24">
        <v>0</v>
      </c>
      <c r="O20" s="15"/>
      <c r="P20" s="15"/>
      <c r="Q20" s="15"/>
      <c r="R20" s="15"/>
      <c r="S20" s="15"/>
      <c r="T20" s="15"/>
      <c r="U20" s="15"/>
      <c r="V20" s="15"/>
      <c r="W20" s="15"/>
    </row>
    <row r="21" spans="1:29">
      <c r="C21" t="s">
        <v>2</v>
      </c>
      <c r="E21" s="4" t="s">
        <v>11</v>
      </c>
      <c r="F21" s="26">
        <v>0</v>
      </c>
      <c r="G21" s="26">
        <v>0</v>
      </c>
      <c r="H21" s="26">
        <f t="array" ref="H21:H25">'Ex. 3a,b'!H21:H25</f>
        <v>0</v>
      </c>
      <c r="I21" s="27">
        <v>0.90821389544852049</v>
      </c>
      <c r="J21" s="26">
        <v>0</v>
      </c>
      <c r="K21" s="26">
        <v>0</v>
      </c>
      <c r="L21" s="26">
        <v>0</v>
      </c>
      <c r="M21" s="26">
        <v>0</v>
      </c>
      <c r="O21" s="15"/>
      <c r="P21" s="15"/>
      <c r="Q21" s="15"/>
      <c r="R21" s="15"/>
      <c r="S21" s="15"/>
      <c r="T21" s="15"/>
      <c r="U21" s="15"/>
      <c r="V21" s="15"/>
      <c r="W21" s="15"/>
    </row>
    <row r="22" spans="1:29">
      <c r="A22" t="s">
        <v>8</v>
      </c>
      <c r="C22" t="s">
        <v>6</v>
      </c>
      <c r="E22" s="4" t="s">
        <v>11</v>
      </c>
      <c r="F22" s="24">
        <v>0</v>
      </c>
      <c r="G22" s="24">
        <v>0</v>
      </c>
      <c r="H22" s="24">
        <v>0</v>
      </c>
      <c r="I22" s="25">
        <v>0</v>
      </c>
      <c r="J22" s="24">
        <v>0.15854982659498015</v>
      </c>
      <c r="K22" s="24">
        <v>0.94030067349529989</v>
      </c>
      <c r="L22" s="24">
        <v>0</v>
      </c>
      <c r="M22" s="24">
        <v>3.472103824395692E-2</v>
      </c>
      <c r="O22" s="15"/>
      <c r="P22" s="15"/>
      <c r="Q22" s="15"/>
      <c r="R22" s="15"/>
      <c r="S22" s="15"/>
      <c r="T22" s="15"/>
      <c r="U22" s="15"/>
      <c r="V22" s="15"/>
      <c r="W22" s="15"/>
    </row>
    <row r="23" spans="1:29">
      <c r="C23" t="s">
        <v>10</v>
      </c>
      <c r="E23" s="4" t="s">
        <v>11</v>
      </c>
      <c r="F23" s="24">
        <v>0</v>
      </c>
      <c r="G23" s="24">
        <v>0</v>
      </c>
      <c r="H23" s="24">
        <v>0</v>
      </c>
      <c r="I23" s="25">
        <v>0</v>
      </c>
      <c r="J23" s="24">
        <v>0.81519142001552447</v>
      </c>
      <c r="K23" s="24">
        <v>5.9699326504700174E-2</v>
      </c>
      <c r="L23" s="24">
        <v>0</v>
      </c>
      <c r="M23" s="24">
        <v>0</v>
      </c>
      <c r="O23" s="15"/>
      <c r="P23" s="15"/>
      <c r="Q23" s="15"/>
      <c r="R23" s="15"/>
      <c r="S23" s="15"/>
      <c r="T23" s="15"/>
      <c r="U23" s="15"/>
      <c r="V23" s="15"/>
      <c r="W23" s="15"/>
    </row>
    <row r="24" spans="1:29">
      <c r="C24" t="s">
        <v>25</v>
      </c>
      <c r="E24" s="4" t="s">
        <v>11</v>
      </c>
      <c r="F24" s="24">
        <v>0</v>
      </c>
      <c r="G24" s="24">
        <v>0</v>
      </c>
      <c r="H24" s="24">
        <v>0</v>
      </c>
      <c r="I24" s="25">
        <v>0</v>
      </c>
      <c r="J24" s="24">
        <v>2.6092893080269894E-2</v>
      </c>
      <c r="K24" s="24">
        <v>0</v>
      </c>
      <c r="L24" s="24">
        <v>1</v>
      </c>
      <c r="M24" s="24">
        <v>0</v>
      </c>
      <c r="O24" s="15"/>
      <c r="P24" s="15"/>
      <c r="Q24" s="15"/>
      <c r="R24" s="15"/>
      <c r="S24" s="15"/>
      <c r="T24" s="15"/>
      <c r="U24" s="15"/>
      <c r="V24" s="15"/>
      <c r="W24" s="15"/>
    </row>
    <row r="25" spans="1:29">
      <c r="C25" t="s">
        <v>2</v>
      </c>
      <c r="E25" s="4" t="s">
        <v>11</v>
      </c>
      <c r="F25" s="24">
        <v>0</v>
      </c>
      <c r="G25" s="24">
        <v>0</v>
      </c>
      <c r="H25" s="24">
        <v>0</v>
      </c>
      <c r="I25" s="25">
        <v>0</v>
      </c>
      <c r="J25" s="24">
        <v>1.6586030922548941E-4</v>
      </c>
      <c r="K25" s="24">
        <v>0</v>
      </c>
      <c r="L25" s="24">
        <v>0</v>
      </c>
      <c r="M25" s="24">
        <v>0.96527896175604311</v>
      </c>
      <c r="O25" s="15"/>
      <c r="P25" s="15"/>
      <c r="Q25" s="15"/>
      <c r="R25" s="15"/>
      <c r="S25" s="15"/>
      <c r="T25" s="15"/>
      <c r="U25" s="15"/>
      <c r="V25" s="15"/>
      <c r="W25" s="15"/>
    </row>
    <row r="26" spans="1:29">
      <c r="E26" s="4"/>
      <c r="F26" s="41"/>
      <c r="G26" s="41"/>
      <c r="H26" s="41"/>
      <c r="I26" s="41"/>
      <c r="J26" s="41"/>
      <c r="K26" s="41"/>
      <c r="L26" s="41"/>
      <c r="M26" s="41"/>
      <c r="O26" s="15"/>
      <c r="P26" s="15"/>
      <c r="Q26" s="15"/>
      <c r="R26" s="15"/>
      <c r="S26" s="15"/>
      <c r="T26" s="15"/>
      <c r="U26" s="15"/>
      <c r="V26" s="15"/>
      <c r="W26" s="15"/>
    </row>
    <row r="27" spans="1:29">
      <c r="D27" t="s">
        <v>19</v>
      </c>
      <c r="E27" s="4" t="s">
        <v>14</v>
      </c>
      <c r="N27" s="3" t="s">
        <v>18</v>
      </c>
      <c r="O27" s="28">
        <f t="array" ref="O27:W28">'Ex. 3a,b'!O27:W28</f>
        <v>9.3327695761945131E-6</v>
      </c>
      <c r="P27" s="28">
        <v>3.3615484145128579E-4</v>
      </c>
      <c r="Q27" s="28">
        <v>1.3445362184646243E-4</v>
      </c>
      <c r="R27" s="28">
        <v>2.0168043276969365E-4</v>
      </c>
      <c r="S27" s="29">
        <v>8.6675066079306092E-9</v>
      </c>
      <c r="T27" s="28">
        <v>1.2344967084705986E-5</v>
      </c>
      <c r="U27" s="28">
        <v>1.7106332166412003E-4</v>
      </c>
      <c r="V27" s="28">
        <v>1.0443155448320794E-4</v>
      </c>
      <c r="W27" s="28">
        <v>6.0114500745619698E-9</v>
      </c>
      <c r="Y27" s="1" t="s">
        <v>23</v>
      </c>
    </row>
    <row r="28" spans="1:29">
      <c r="D28" t="s">
        <v>20</v>
      </c>
      <c r="E28" s="4" t="s">
        <v>13</v>
      </c>
      <c r="N28" s="3"/>
      <c r="O28" s="28">
        <v>1.0966822285952847E-3</v>
      </c>
      <c r="P28" s="28">
        <v>0.16146899044461541</v>
      </c>
      <c r="Q28" s="28">
        <v>0.75858536787205477</v>
      </c>
      <c r="R28" s="28">
        <v>0.3</v>
      </c>
      <c r="S28" s="29">
        <v>7.460180323602862E-5</v>
      </c>
      <c r="T28" s="28">
        <v>2.7176049594627937E-3</v>
      </c>
      <c r="U28" s="28">
        <v>0.24096642889606007</v>
      </c>
      <c r="V28" s="28">
        <v>0.67546413592501253</v>
      </c>
      <c r="W28" s="28">
        <v>1.3706389434075023E-4</v>
      </c>
      <c r="Y28" s="12">
        <f t="array" ref="Y28:Z28">'Ex. 3a,b'!Y28:Z28</f>
        <v>796.06386428400185</v>
      </c>
      <c r="Z28" s="10">
        <v>3424.6898600358227</v>
      </c>
      <c r="AA28" s="53"/>
    </row>
    <row r="30" spans="1:29">
      <c r="F30" t="s">
        <v>38</v>
      </c>
      <c r="O30" s="1" t="s">
        <v>27</v>
      </c>
      <c r="AB30" s="1" t="s">
        <v>29</v>
      </c>
    </row>
    <row r="31" spans="1:29">
      <c r="A31" t="s">
        <v>4</v>
      </c>
      <c r="B31" t="s">
        <v>5</v>
      </c>
      <c r="E31" t="s">
        <v>13</v>
      </c>
      <c r="F31" s="35">
        <f t="array" ref="F31:M38">MINVERSE(_xlfn.MUNIT(8)-MMULT(O8:W15,F17:M25))</f>
        <v>1.7700210662619225</v>
      </c>
      <c r="G31" s="35">
        <v>6.5616670622569193E-2</v>
      </c>
      <c r="H31" s="35">
        <v>0.56563786111916159</v>
      </c>
      <c r="I31" s="35">
        <v>9.3615081007352146E-4</v>
      </c>
      <c r="J31" s="35">
        <v>2.4388024711071012E-2</v>
      </c>
      <c r="K31" s="35">
        <v>2.2769183008585253E-3</v>
      </c>
      <c r="L31" s="35">
        <v>4.4200687057974877E-2</v>
      </c>
      <c r="M31" s="35">
        <v>2.4873428086123916E-5</v>
      </c>
      <c r="O31" s="18">
        <f t="array" ref="O31:W38">MMULT(O8:W15,_xlfn.MUNIT(9)*AB40:AB48)</f>
        <v>2837.2381837705434</v>
      </c>
      <c r="P31" s="18">
        <v>1266.0678127210965</v>
      </c>
      <c r="Q31" s="18">
        <v>20.020425794774741</v>
      </c>
      <c r="R31" s="18">
        <v>5.9401846657877373</v>
      </c>
      <c r="S31" s="19">
        <v>328.16699825354317</v>
      </c>
      <c r="T31" s="18">
        <v>159.60749352154124</v>
      </c>
      <c r="U31" s="18">
        <v>143.81706791572762</v>
      </c>
      <c r="V31" s="18">
        <v>12.65153407704975</v>
      </c>
      <c r="W31" s="18">
        <v>17.522794478313283</v>
      </c>
      <c r="AB31" s="16">
        <f t="array" ref="AB31:AB38">MMULT(F31:M38,AB8:AB15)</f>
        <v>5772.1889393534548</v>
      </c>
      <c r="AC31" s="8"/>
    </row>
    <row r="32" spans="1:29">
      <c r="B32" t="s">
        <v>6</v>
      </c>
      <c r="E32" t="s">
        <v>14</v>
      </c>
      <c r="F32" s="35">
        <v>7.6176183363396092E-4</v>
      </c>
      <c r="G32" s="35">
        <v>1.0000662153973428</v>
      </c>
      <c r="H32" s="35">
        <v>5.8740387039511179E-4</v>
      </c>
      <c r="I32" s="35">
        <v>1.0266528651901056E-6</v>
      </c>
      <c r="J32" s="35">
        <v>2.6156827225108615E-5</v>
      </c>
      <c r="K32" s="35">
        <v>2.5084621580514665E-6</v>
      </c>
      <c r="L32" s="35">
        <v>4.5030959968498059E-5</v>
      </c>
      <c r="M32" s="35">
        <v>2.8790116804878641E-8</v>
      </c>
      <c r="O32" s="18">
        <v>3.6922527438316721</v>
      </c>
      <c r="P32" s="18">
        <v>1.0191378645291085</v>
      </c>
      <c r="Q32" s="18">
        <v>1.8291927219083501E-2</v>
      </c>
      <c r="R32" s="18">
        <v>7.158267386486037E-3</v>
      </c>
      <c r="S32" s="19">
        <v>4.1940593880189607E-2</v>
      </c>
      <c r="T32" s="18">
        <v>0.28562189552068296</v>
      </c>
      <c r="U32" s="18">
        <v>0.1257383679614805</v>
      </c>
      <c r="V32" s="18">
        <v>6.4765142892214194E-3</v>
      </c>
      <c r="W32" s="18">
        <v>3.2032556665408649E-3</v>
      </c>
      <c r="AB32" s="16">
        <v>13.839812233523549</v>
      </c>
    </row>
    <row r="33" spans="1:28">
      <c r="B33" t="s">
        <v>7</v>
      </c>
      <c r="E33" t="s">
        <v>13</v>
      </c>
      <c r="F33" s="35">
        <v>3.7298678016542339E-2</v>
      </c>
      <c r="G33" s="35">
        <v>2.9649284687208624E-3</v>
      </c>
      <c r="H33" s="35">
        <v>1.1218332033148681</v>
      </c>
      <c r="I33" s="35">
        <v>2.1548558407248387E-5</v>
      </c>
      <c r="J33" s="35">
        <v>2.3790914326249362E-3</v>
      </c>
      <c r="K33" s="35">
        <v>2.0383405117386914E-4</v>
      </c>
      <c r="L33" s="35">
        <v>7.8347307324128437E-3</v>
      </c>
      <c r="M33" s="35">
        <v>1.9287933602583833E-6</v>
      </c>
      <c r="O33" s="18">
        <v>9.0607966057675107</v>
      </c>
      <c r="P33" s="18">
        <v>104.48484434811161</v>
      </c>
      <c r="Q33" s="18">
        <v>12.356507986385939</v>
      </c>
      <c r="R33" s="18">
        <v>4.83553138334827</v>
      </c>
      <c r="S33" s="19">
        <v>0</v>
      </c>
      <c r="T33" s="18">
        <v>5.9212330745519965</v>
      </c>
      <c r="U33" s="18">
        <v>25.94502164176291</v>
      </c>
      <c r="V33" s="18">
        <v>10.632694972134814</v>
      </c>
      <c r="W33" s="18">
        <v>0</v>
      </c>
      <c r="AB33" s="16">
        <v>175.99563271265635</v>
      </c>
    </row>
    <row r="34" spans="1:28">
      <c r="B34" t="s">
        <v>2</v>
      </c>
      <c r="E34" t="s">
        <v>12</v>
      </c>
      <c r="F34" s="16">
        <v>1033.7998721724557</v>
      </c>
      <c r="G34" s="16">
        <v>85.88110080070949</v>
      </c>
      <c r="H34" s="16">
        <v>746.15879041961546</v>
      </c>
      <c r="I34" s="16">
        <v>2.0138466473151282</v>
      </c>
      <c r="J34" s="16">
        <v>22.640511431497409</v>
      </c>
      <c r="K34" s="16">
        <v>2.0866615042441383</v>
      </c>
      <c r="L34" s="16">
        <v>42.878537605247089</v>
      </c>
      <c r="M34" s="16">
        <v>2.19670456249145E-2</v>
      </c>
      <c r="O34" s="20">
        <v>2486053.2960015396</v>
      </c>
      <c r="P34" s="20">
        <v>2260942.6263862513</v>
      </c>
      <c r="Q34" s="20">
        <v>29628.32582170175</v>
      </c>
      <c r="R34" s="20">
        <v>14850.461664469343</v>
      </c>
      <c r="S34" s="21">
        <v>309912.52066155558</v>
      </c>
      <c r="T34" s="20">
        <v>51923.277109473835</v>
      </c>
      <c r="U34" s="20">
        <v>87228.412683215152</v>
      </c>
      <c r="V34" s="20">
        <v>9566.1834748196325</v>
      </c>
      <c r="W34" s="20">
        <v>54.69955507161707</v>
      </c>
      <c r="AB34" s="17">
        <v>8788152.3565894403</v>
      </c>
    </row>
    <row r="35" spans="1:28">
      <c r="A35" t="s">
        <v>8</v>
      </c>
      <c r="B35" t="s">
        <v>5</v>
      </c>
      <c r="E35" t="s">
        <v>13</v>
      </c>
      <c r="F35" s="35">
        <v>0.65971943115632048</v>
      </c>
      <c r="G35" s="35">
        <v>5.3538705152175306E-2</v>
      </c>
      <c r="H35" s="35">
        <v>1.5161064094797159</v>
      </c>
      <c r="I35" s="35">
        <v>5.1983335544019131E-4</v>
      </c>
      <c r="J35" s="35">
        <v>2.2559162087740425</v>
      </c>
      <c r="K35" s="35">
        <v>0.12140686294688878</v>
      </c>
      <c r="L35" s="35">
        <v>2.305359275490535</v>
      </c>
      <c r="M35" s="35">
        <v>1.4868165131019895E-3</v>
      </c>
      <c r="O35" s="18">
        <v>318.96693498473013</v>
      </c>
      <c r="P35" s="18">
        <v>654.5661198498251</v>
      </c>
      <c r="Q35" s="18">
        <v>65.445215176850908</v>
      </c>
      <c r="R35" s="18">
        <v>19.800615552625793</v>
      </c>
      <c r="S35" s="19">
        <v>99.505614823355202</v>
      </c>
      <c r="T35" s="18">
        <v>23479.888576505884</v>
      </c>
      <c r="U35" s="18">
        <v>13810.951505521647</v>
      </c>
      <c r="V35" s="18">
        <v>1750.2344146892854</v>
      </c>
      <c r="W35" s="18">
        <v>3766.0119504572626</v>
      </c>
      <c r="AB35" s="16">
        <v>52029.356090341724</v>
      </c>
    </row>
    <row r="36" spans="1:28">
      <c r="B36" t="s">
        <v>6</v>
      </c>
      <c r="E36" t="s">
        <v>14</v>
      </c>
      <c r="F36" s="35">
        <v>1.8422070601987263E-4</v>
      </c>
      <c r="G36" s="35">
        <v>1.5243154709408717E-5</v>
      </c>
      <c r="H36" s="35">
        <v>3.260461132432483E-4</v>
      </c>
      <c r="I36" s="35">
        <v>1.7311443405468419E-7</v>
      </c>
      <c r="J36" s="35">
        <v>4.1330817816740626E-4</v>
      </c>
      <c r="K36" s="35">
        <v>1.0000422179841781</v>
      </c>
      <c r="L36" s="35">
        <v>6.295066888795522E-4</v>
      </c>
      <c r="M36" s="35">
        <v>5.4698851610351893E-7</v>
      </c>
      <c r="O36" s="18">
        <v>0.25058869918503129</v>
      </c>
      <c r="P36" s="18">
        <v>8.2586992794488848E-2</v>
      </c>
      <c r="Q36" s="18">
        <v>1.2435634222772267E-3</v>
      </c>
      <c r="R36" s="18">
        <v>4.8664962319700558E-4</v>
      </c>
      <c r="S36" s="19">
        <v>3.3043033628219931E-3</v>
      </c>
      <c r="T36" s="18">
        <v>11.306058156959162</v>
      </c>
      <c r="U36" s="18">
        <v>3.6997618291651362</v>
      </c>
      <c r="V36" s="18">
        <v>0.2086081062095477</v>
      </c>
      <c r="W36" s="18">
        <v>9.8085142348211751E-2</v>
      </c>
      <c r="AB36" s="16">
        <v>46.309901827884659</v>
      </c>
    </row>
    <row r="37" spans="1:28">
      <c r="B37" t="s">
        <v>7</v>
      </c>
      <c r="E37" t="s">
        <v>13</v>
      </c>
      <c r="F37" s="35">
        <v>3.7336839753423993E-2</v>
      </c>
      <c r="G37" s="35">
        <v>3.0051452432062501E-3</v>
      </c>
      <c r="H37" s="35">
        <v>7.9001228629563561E-2</v>
      </c>
      <c r="I37" s="35">
        <v>2.6186384488974546E-5</v>
      </c>
      <c r="J37" s="35">
        <v>7.0035864649155455E-2</v>
      </c>
      <c r="K37" s="35">
        <v>5.5392748835151571E-3</v>
      </c>
      <c r="L37" s="35">
        <v>1.4019191540103411</v>
      </c>
      <c r="M37" s="35">
        <v>5.1178273161012144E-5</v>
      </c>
      <c r="O37" s="18">
        <v>4.8532484183193256</v>
      </c>
      <c r="P37" s="18">
        <v>37.256780483111761</v>
      </c>
      <c r="Q37" s="18">
        <v>2.26008054166779</v>
      </c>
      <c r="R37" s="18">
        <v>0.88444813050501714</v>
      </c>
      <c r="S37" s="19">
        <v>0</v>
      </c>
      <c r="T37" s="18">
        <v>154.56790136132921</v>
      </c>
      <c r="U37" s="18">
        <v>800.22878984016734</v>
      </c>
      <c r="V37" s="18">
        <v>785.87644804001616</v>
      </c>
      <c r="W37" s="18">
        <v>0</v>
      </c>
      <c r="AB37" s="16">
        <v>1824.9921785624369</v>
      </c>
    </row>
    <row r="38" spans="1:28">
      <c r="B38" t="s">
        <v>2</v>
      </c>
      <c r="E38" t="s">
        <v>12</v>
      </c>
      <c r="F38" s="16">
        <v>381.41918435354552</v>
      </c>
      <c r="G38" s="16">
        <v>30.977866550552374</v>
      </c>
      <c r="H38" s="16">
        <v>828.66020791288634</v>
      </c>
      <c r="I38" s="16">
        <v>0.30167788542036816</v>
      </c>
      <c r="J38" s="16">
        <v>1187.6676199254612</v>
      </c>
      <c r="K38" s="16">
        <v>108.97388598138521</v>
      </c>
      <c r="L38" s="16">
        <v>1799.4848904441442</v>
      </c>
      <c r="M38" s="16">
        <v>2.1307336597307218</v>
      </c>
      <c r="O38" s="18">
        <v>42251.060524884946</v>
      </c>
      <c r="P38" s="18">
        <v>48258.485181861848</v>
      </c>
      <c r="Q38" s="18">
        <v>395.86487520448742</v>
      </c>
      <c r="R38" s="18">
        <v>247.50769440782238</v>
      </c>
      <c r="S38" s="19">
        <v>56.898008176791265</v>
      </c>
      <c r="T38" s="18">
        <v>11790457.948602982</v>
      </c>
      <c r="U38" s="18">
        <v>19327910.492274791</v>
      </c>
      <c r="V38" s="18">
        <v>1040770.7651646264</v>
      </c>
      <c r="W38" s="18">
        <v>2612701.3096194901</v>
      </c>
      <c r="AB38" s="16">
        <v>55882995.359954633</v>
      </c>
    </row>
    <row r="39" spans="1:28">
      <c r="F39" s="1" t="s">
        <v>120</v>
      </c>
      <c r="O39" s="15" t="s">
        <v>40</v>
      </c>
      <c r="P39" s="15"/>
      <c r="Q39" s="15"/>
      <c r="R39" s="15"/>
      <c r="S39" s="15"/>
      <c r="T39" s="15"/>
      <c r="U39" s="15"/>
      <c r="V39" s="15"/>
      <c r="AB39" s="1" t="s">
        <v>30</v>
      </c>
    </row>
    <row r="40" spans="1:28">
      <c r="A40" t="s">
        <v>4</v>
      </c>
      <c r="C40" t="s">
        <v>6</v>
      </c>
      <c r="E40" s="4" t="s">
        <v>11</v>
      </c>
      <c r="F40" s="18">
        <f t="array" ref="F40:M48">MMULT(F17:M25,_xlfn.MUNIT(8)*AB31:AB38)</f>
        <v>1093.4399579834096</v>
      </c>
      <c r="G40" s="18">
        <v>13.006823333609878</v>
      </c>
      <c r="H40" s="18">
        <v>0</v>
      </c>
      <c r="I40" s="19">
        <v>806630.27101624967</v>
      </c>
      <c r="J40" s="18">
        <v>0</v>
      </c>
      <c r="K40" s="18">
        <v>0</v>
      </c>
      <c r="L40" s="18">
        <v>0</v>
      </c>
      <c r="M40" s="18">
        <v>0</v>
      </c>
      <c r="O40" s="34">
        <f t="array" ref="O40:W48">MINVERSE(_xlfn.MUNIT(9)-MMULT(F17:M25,O8:W15))</f>
        <v>1.9057044439096753</v>
      </c>
      <c r="P40" s="34">
        <v>117.03340153959603</v>
      </c>
      <c r="Q40" s="34">
        <v>66.264609134973256</v>
      </c>
      <c r="R40" s="34">
        <v>74.548952534789805</v>
      </c>
      <c r="S40" s="44">
        <v>1.1125412033185724E-2</v>
      </c>
      <c r="T40" s="34">
        <v>5.0578043542009531E-2</v>
      </c>
      <c r="U40" s="34">
        <v>2.4188152657931021</v>
      </c>
      <c r="V40" s="34">
        <v>3.9440693012407335</v>
      </c>
      <c r="W40" s="34">
        <v>2.7441420025159689E-4</v>
      </c>
      <c r="AB40" s="16">
        <f t="array" ref="AB40:AB48">MMULT(F17:M25,AB31:AB38)</f>
        <v>807736.71779756667</v>
      </c>
    </row>
    <row r="41" spans="1:28">
      <c r="C41" t="s">
        <v>10</v>
      </c>
      <c r="E41" s="4" t="s">
        <v>11</v>
      </c>
      <c r="F41" s="18">
        <v>4678.7489813700449</v>
      </c>
      <c r="G41" s="18">
        <v>0.83298889991367109</v>
      </c>
      <c r="H41" s="18">
        <v>0</v>
      </c>
      <c r="I41" s="19">
        <v>0</v>
      </c>
      <c r="J41" s="18">
        <v>0</v>
      </c>
      <c r="K41" s="18">
        <v>0</v>
      </c>
      <c r="L41" s="18">
        <v>0</v>
      </c>
      <c r="M41" s="18">
        <v>0</v>
      </c>
      <c r="O41" s="34">
        <v>7.3901391380637961E-3</v>
      </c>
      <c r="P41" s="34">
        <v>1.7683505288234416</v>
      </c>
      <c r="Q41" s="34">
        <v>0.46057070018872054</v>
      </c>
      <c r="R41" s="34">
        <v>0.45329054993185075</v>
      </c>
      <c r="S41" s="44">
        <v>8.8705058177977476E-5</v>
      </c>
      <c r="T41" s="34">
        <v>5.0222250225881351E-4</v>
      </c>
      <c r="U41" s="34">
        <v>2.3007075040995348E-2</v>
      </c>
      <c r="V41" s="34">
        <v>3.5830352434419607E-2</v>
      </c>
      <c r="W41" s="34">
        <v>2.8236806132403973E-6</v>
      </c>
      <c r="AB41" s="16">
        <v>4679.5819702699582</v>
      </c>
    </row>
    <row r="42" spans="1:28">
      <c r="C42" t="s">
        <v>24</v>
      </c>
      <c r="E42" s="4" t="s">
        <v>11</v>
      </c>
      <c r="F42" s="18">
        <v>0</v>
      </c>
      <c r="G42" s="18">
        <v>0</v>
      </c>
      <c r="H42" s="18">
        <v>126.49409383109186</v>
      </c>
      <c r="I42" s="19">
        <v>0</v>
      </c>
      <c r="J42" s="18">
        <v>0</v>
      </c>
      <c r="K42" s="18">
        <v>0</v>
      </c>
      <c r="L42" s="18">
        <v>0</v>
      </c>
      <c r="M42" s="18">
        <v>0</v>
      </c>
      <c r="O42" s="34">
        <v>1.5166870032964097E-4</v>
      </c>
      <c r="P42" s="34">
        <v>3.3037478215951717E-2</v>
      </c>
      <c r="Q42" s="34">
        <v>1.0876234775028466</v>
      </c>
      <c r="R42" s="34">
        <v>8.7418055368667744E-2</v>
      </c>
      <c r="S42" s="44">
        <v>1.7249332665312374E-6</v>
      </c>
      <c r="T42" s="34">
        <v>3.4498419280104858E-5</v>
      </c>
      <c r="U42" s="34">
        <v>1.910635164731589E-3</v>
      </c>
      <c r="V42" s="34">
        <v>5.6310895284664396E-3</v>
      </c>
      <c r="W42" s="34">
        <v>1.9524818572474792E-7</v>
      </c>
      <c r="AB42" s="16">
        <v>126.49409383109186</v>
      </c>
    </row>
    <row r="43" spans="1:28">
      <c r="C43" t="s">
        <v>26</v>
      </c>
      <c r="E43" s="4"/>
      <c r="F43" s="18">
        <v>0</v>
      </c>
      <c r="G43" s="18">
        <v>0</v>
      </c>
      <c r="H43" s="18">
        <v>49.501538881564478</v>
      </c>
      <c r="I43" s="19">
        <v>0</v>
      </c>
      <c r="J43" s="18">
        <v>0</v>
      </c>
      <c r="K43" s="18">
        <v>0</v>
      </c>
      <c r="L43" s="18">
        <v>0</v>
      </c>
      <c r="M43" s="18">
        <v>0</v>
      </c>
      <c r="O43" s="34">
        <v>5.9353238076908434E-5</v>
      </c>
      <c r="P43" s="34">
        <v>1.2928714400207318E-2</v>
      </c>
      <c r="Q43" s="34">
        <v>3.4290114638374308E-2</v>
      </c>
      <c r="R43" s="34">
        <v>1.034209725811871</v>
      </c>
      <c r="S43" s="44">
        <v>6.7502638720277217E-7</v>
      </c>
      <c r="T43" s="34">
        <v>1.3500431455897546E-5</v>
      </c>
      <c r="U43" s="34">
        <v>7.4769799937901321E-4</v>
      </c>
      <c r="V43" s="34">
        <v>2.2036412041051899E-3</v>
      </c>
      <c r="W43" s="34">
        <v>7.6407406586248279E-8</v>
      </c>
      <c r="AB43" s="16">
        <v>49.501538881564478</v>
      </c>
    </row>
    <row r="44" spans="1:28">
      <c r="C44" t="s">
        <v>2</v>
      </c>
      <c r="E44" s="4" t="s">
        <v>11</v>
      </c>
      <c r="F44" s="20">
        <v>0</v>
      </c>
      <c r="G44" s="20">
        <v>0</v>
      </c>
      <c r="H44" s="20">
        <v>0</v>
      </c>
      <c r="I44" s="21">
        <v>7981522.0855731908</v>
      </c>
      <c r="J44" s="20">
        <v>0</v>
      </c>
      <c r="K44" s="20">
        <v>0</v>
      </c>
      <c r="L44" s="20">
        <v>0</v>
      </c>
      <c r="M44" s="20">
        <v>0</v>
      </c>
      <c r="O44" s="34">
        <v>8.9446656667875502</v>
      </c>
      <c r="P44" s="34">
        <v>1156.2478809757963</v>
      </c>
      <c r="Q44" s="34">
        <v>654.61102388545942</v>
      </c>
      <c r="R44" s="34">
        <v>736.60024581373705</v>
      </c>
      <c r="S44" s="44">
        <v>1.1098789562412783</v>
      </c>
      <c r="T44" s="34">
        <v>0.49929637369334129</v>
      </c>
      <c r="U44" s="34">
        <v>23.880441208791542</v>
      </c>
      <c r="V44" s="34">
        <v>38.942883669670856</v>
      </c>
      <c r="W44" s="34">
        <v>2.7087377806608499E-3</v>
      </c>
      <c r="AB44" s="17">
        <v>7981522.0855731908</v>
      </c>
    </row>
    <row r="45" spans="1:28">
      <c r="A45" t="s">
        <v>8</v>
      </c>
      <c r="C45" t="s">
        <v>6</v>
      </c>
      <c r="E45" s="4" t="s">
        <v>11</v>
      </c>
      <c r="F45" s="18">
        <v>0</v>
      </c>
      <c r="G45" s="18">
        <v>0</v>
      </c>
      <c r="H45" s="18">
        <v>0</v>
      </c>
      <c r="I45" s="19">
        <v>0</v>
      </c>
      <c r="J45" s="18">
        <v>8249.2453859721554</v>
      </c>
      <c r="K45" s="18">
        <v>43.545231878261163</v>
      </c>
      <c r="L45" s="18">
        <v>0</v>
      </c>
      <c r="M45" s="18">
        <v>1940315.619079852</v>
      </c>
      <c r="O45" s="45">
        <v>0.10039599096015069</v>
      </c>
      <c r="P45" s="45">
        <v>16.444062728207953</v>
      </c>
      <c r="Q45" s="45">
        <v>30.2951962704153</v>
      </c>
      <c r="R45" s="45">
        <v>25.735207599217006</v>
      </c>
      <c r="S45" s="46">
        <v>1.4778399107611495E-3</v>
      </c>
      <c r="T45" s="45">
        <v>1.9567472510079962</v>
      </c>
      <c r="U45" s="45">
        <v>48.632795090292511</v>
      </c>
      <c r="V45" s="45">
        <v>62.846089939470261</v>
      </c>
      <c r="W45" s="45">
        <v>6.5030295219304533E-3</v>
      </c>
      <c r="AB45" s="16">
        <v>1948608.4096977024</v>
      </c>
    </row>
    <row r="46" spans="1:28">
      <c r="C46" t="s">
        <v>10</v>
      </c>
      <c r="E46" s="4" t="s">
        <v>11</v>
      </c>
      <c r="F46" s="18">
        <v>0</v>
      </c>
      <c r="G46" s="18">
        <v>0</v>
      </c>
      <c r="H46" s="18">
        <v>0</v>
      </c>
      <c r="I46" s="19">
        <v>0</v>
      </c>
      <c r="J46" s="18">
        <v>42413.884673779045</v>
      </c>
      <c r="K46" s="18">
        <v>2.7646699496234977</v>
      </c>
      <c r="L46" s="18">
        <v>0</v>
      </c>
      <c r="M46" s="18">
        <v>0</v>
      </c>
      <c r="O46" s="34">
        <v>4.008406271074719E-3</v>
      </c>
      <c r="P46" s="34">
        <v>0.66255958924368652</v>
      </c>
      <c r="Q46" s="34">
        <v>1.2939625092418812</v>
      </c>
      <c r="R46" s="34">
        <v>1.0876589929476448</v>
      </c>
      <c r="S46" s="44">
        <v>6.1503164844899501E-5</v>
      </c>
      <c r="T46" s="34">
        <v>2.9702490774786205E-2</v>
      </c>
      <c r="U46" s="34">
        <v>2.1900147869327156</v>
      </c>
      <c r="V46" s="34">
        <v>1.8793466825586549</v>
      </c>
      <c r="W46" s="34">
        <v>1.872737400216873E-4</v>
      </c>
      <c r="AB46" s="16">
        <v>42416.64934372867</v>
      </c>
    </row>
    <row r="47" spans="1:28">
      <c r="C47" t="s">
        <v>25</v>
      </c>
      <c r="E47" s="4" t="s">
        <v>11</v>
      </c>
      <c r="F47" s="18">
        <v>0</v>
      </c>
      <c r="G47" s="18">
        <v>0</v>
      </c>
      <c r="H47" s="18">
        <v>0</v>
      </c>
      <c r="I47" s="19">
        <v>0</v>
      </c>
      <c r="J47" s="18">
        <v>1357.5964255005758</v>
      </c>
      <c r="K47" s="18">
        <v>0</v>
      </c>
      <c r="L47" s="18">
        <v>1824.9921785624369</v>
      </c>
      <c r="M47" s="18">
        <v>0</v>
      </c>
      <c r="O47" s="16">
        <v>3.7970259693435914E-4</v>
      </c>
      <c r="P47" s="34">
        <v>6.721080938517332E-2</v>
      </c>
      <c r="Q47" s="34">
        <v>0.12262085729170191</v>
      </c>
      <c r="R47" s="34">
        <v>0.10818601547089736</v>
      </c>
      <c r="S47" s="44">
        <v>5.3940139166568228E-6</v>
      </c>
      <c r="T47" s="34">
        <v>2.219497750532662E-3</v>
      </c>
      <c r="U47" s="34">
        <v>0.1108913003806147</v>
      </c>
      <c r="V47" s="34">
        <v>1.4620726470973422</v>
      </c>
      <c r="W47" s="34">
        <v>1.3374735905649209E-5</v>
      </c>
      <c r="AB47" s="16">
        <v>3182.588604063013</v>
      </c>
    </row>
    <row r="48" spans="1:28">
      <c r="C48" t="s">
        <v>2</v>
      </c>
      <c r="E48" s="4" t="s">
        <v>11</v>
      </c>
      <c r="F48" s="18">
        <v>0</v>
      </c>
      <c r="G48" s="18">
        <v>0</v>
      </c>
      <c r="H48" s="18">
        <v>0</v>
      </c>
      <c r="I48" s="19">
        <v>0</v>
      </c>
      <c r="J48" s="18">
        <v>8.6296050899471783</v>
      </c>
      <c r="K48" s="18">
        <v>0</v>
      </c>
      <c r="L48" s="18">
        <v>0</v>
      </c>
      <c r="M48" s="18">
        <v>53942679.740874782</v>
      </c>
      <c r="O48" s="34">
        <v>2.7693903917461156</v>
      </c>
      <c r="P48" s="34">
        <v>453.57282854946124</v>
      </c>
      <c r="Q48" s="34">
        <v>835.23112485422757</v>
      </c>
      <c r="R48" s="34">
        <v>709.57554239872513</v>
      </c>
      <c r="S48" s="44">
        <v>4.0752345221625859E-2</v>
      </c>
      <c r="T48" s="34">
        <v>26.437548509866307</v>
      </c>
      <c r="U48" s="34">
        <v>1345.5926505218285</v>
      </c>
      <c r="V48" s="34">
        <v>1737.0052891113457</v>
      </c>
      <c r="W48" s="34">
        <v>1.1797765554615194</v>
      </c>
      <c r="AB48" s="16">
        <v>53942688.370479874</v>
      </c>
    </row>
    <row r="49" spans="1:55">
      <c r="E49" s="4"/>
      <c r="F49" s="15"/>
      <c r="G49" s="15"/>
      <c r="H49" s="15"/>
      <c r="I49" s="15"/>
      <c r="J49" s="15"/>
      <c r="K49" s="15"/>
      <c r="L49" s="15"/>
      <c r="M49" s="15"/>
      <c r="AB49" s="15"/>
    </row>
    <row r="50" spans="1:55">
      <c r="D50" t="s">
        <v>19</v>
      </c>
      <c r="E50" s="4" t="s">
        <v>14</v>
      </c>
      <c r="N50" s="3" t="s">
        <v>31</v>
      </c>
      <c r="O50" s="22">
        <f t="array" ref="O50:W51">MMULT(O27:W28,_xlfn.MUNIT(9)*AB40:AB48)</f>
        <v>7.5384206654363437</v>
      </c>
      <c r="P50" s="22">
        <v>1.5730641352743933</v>
      </c>
      <c r="Q50" s="22">
        <v>1.7007589057776561E-2</v>
      </c>
      <c r="R50" s="22">
        <v>9.9834917843997402E-3</v>
      </c>
      <c r="S50" s="23">
        <v>6.9179895418049725E-2</v>
      </c>
      <c r="T50" s="22">
        <v>24.055506678699413</v>
      </c>
      <c r="U50" s="22">
        <v>7.2559329306004434</v>
      </c>
      <c r="V50" s="22">
        <v>0.33236267520284324</v>
      </c>
      <c r="W50" s="22">
        <v>0.32427377802679436</v>
      </c>
      <c r="AB50" s="61" t="s">
        <v>93</v>
      </c>
    </row>
    <row r="51" spans="1:55">
      <c r="D51" t="s">
        <v>20</v>
      </c>
      <c r="E51" s="4" t="s">
        <v>13</v>
      </c>
      <c r="O51" s="18">
        <v>885.83050379247595</v>
      </c>
      <c r="P51" s="18">
        <v>755.60737644231438</v>
      </c>
      <c r="Q51" s="18">
        <v>95.956568702501031</v>
      </c>
      <c r="R51" s="18">
        <v>14.850461664469343</v>
      </c>
      <c r="S51" s="19">
        <v>595.43594015194799</v>
      </c>
      <c r="T51" s="18">
        <v>5295.5478782453838</v>
      </c>
      <c r="U51" s="18">
        <v>10220.988518094708</v>
      </c>
      <c r="V51" s="18">
        <v>2149.7244614482147</v>
      </c>
      <c r="W51" s="18">
        <v>7393.5949392674702</v>
      </c>
      <c r="AB51" s="18">
        <f>SUM(O51:W51,Y28:Z28)</f>
        <v>31628.290372129311</v>
      </c>
    </row>
    <row r="52" spans="1:55">
      <c r="E52" s="4"/>
      <c r="N52" s="3"/>
      <c r="O52" s="15"/>
      <c r="P52" s="15"/>
      <c r="Q52" s="15"/>
      <c r="R52" s="15"/>
      <c r="S52" s="15"/>
      <c r="T52" s="15"/>
      <c r="U52" s="15"/>
      <c r="V52" s="15"/>
      <c r="W52" s="15"/>
    </row>
    <row r="53" spans="1:55">
      <c r="A53" s="43"/>
      <c r="AB53" t="s">
        <v>46</v>
      </c>
      <c r="AF53" t="s">
        <v>47</v>
      </c>
      <c r="AJ53" t="s">
        <v>48</v>
      </c>
      <c r="AN53" t="s">
        <v>98</v>
      </c>
      <c r="AR53" t="s">
        <v>50</v>
      </c>
      <c r="AV53" t="s">
        <v>49</v>
      </c>
      <c r="AZ53" t="s">
        <v>99</v>
      </c>
    </row>
    <row r="54" spans="1:55">
      <c r="AB54" t="s">
        <v>4</v>
      </c>
      <c r="AC54" t="s">
        <v>8</v>
      </c>
      <c r="AF54" t="s">
        <v>4</v>
      </c>
      <c r="AG54" t="s">
        <v>8</v>
      </c>
      <c r="AJ54" t="s">
        <v>4</v>
      </c>
      <c r="AK54" t="s">
        <v>8</v>
      </c>
      <c r="AN54" t="s">
        <v>4</v>
      </c>
      <c r="AO54" t="s">
        <v>8</v>
      </c>
      <c r="AR54" t="s">
        <v>4</v>
      </c>
      <c r="AS54" t="s">
        <v>8</v>
      </c>
      <c r="AV54" t="s">
        <v>4</v>
      </c>
      <c r="AW54" t="s">
        <v>8</v>
      </c>
      <c r="AZ54" t="s">
        <v>4</v>
      </c>
      <c r="BA54" t="s">
        <v>8</v>
      </c>
      <c r="BC54" t="s">
        <v>100</v>
      </c>
    </row>
    <row r="55" spans="1:55">
      <c r="D55" t="s">
        <v>34</v>
      </c>
      <c r="E55" s="4" t="s">
        <v>14</v>
      </c>
      <c r="F55" s="39">
        <f t="array" ref="F55:M56">MMULT(MMULT(O27:W28,F17:M25),F31:M38)</f>
        <v>1.6495609392820857E-3</v>
      </c>
      <c r="G55" s="39">
        <v>1.4318709157324706E-4</v>
      </c>
      <c r="H55" s="39">
        <v>1.5590072298746851E-3</v>
      </c>
      <c r="I55" s="47">
        <v>2.2097413277620551E-6</v>
      </c>
      <c r="J55" s="39">
        <v>8.750598823137252E-4</v>
      </c>
      <c r="K55" s="39">
        <v>8.9699797870778299E-5</v>
      </c>
      <c r="L55" s="39">
        <v>1.3108413634785089E-3</v>
      </c>
      <c r="M55" s="39">
        <v>1.1714226801230673E-6</v>
      </c>
      <c r="N55" s="1" t="s">
        <v>39</v>
      </c>
      <c r="Z55" t="s">
        <v>36</v>
      </c>
      <c r="AB55" s="42">
        <f t="array" ref="AB55:AC56">'Ex. 3a,b'!AB55:AC56</f>
        <v>1.5435715137695525</v>
      </c>
      <c r="AC55" s="39">
        <v>1.3107335625338521</v>
      </c>
      <c r="AF55" s="42">
        <f t="array" ref="AF55:AG56">'Ex. 3c'!AF55:AG56</f>
        <v>1.5655225601154459</v>
      </c>
      <c r="AG55" s="39">
        <v>1.310886865659989</v>
      </c>
      <c r="AJ55" s="42">
        <f t="array" ref="AJ55:AK56">'Ex. 3d'!AJ55:AK56</f>
        <v>1.5180902301587298</v>
      </c>
      <c r="AK55" s="39">
        <v>1.3090960175128554</v>
      </c>
      <c r="AN55" s="42">
        <f>H55*1000</f>
        <v>1.5590072298746851</v>
      </c>
      <c r="AO55" s="39">
        <f>L55*1000</f>
        <v>1.310841363478509</v>
      </c>
      <c r="AR55" s="48">
        <f t="array" ref="AR55:AS56">(AF55:AG56-AB55:AC56)/AB55:AC56</f>
        <v>1.4220945482653277E-2</v>
      </c>
      <c r="AS55" s="48">
        <v>1.1695979298841554E-4</v>
      </c>
      <c r="AV55" s="48">
        <f t="array" ref="AV55:AW56">(AJ55:AK56-AB55:AC56)/AB55:AC56</f>
        <v>-1.6508003279093242E-2</v>
      </c>
      <c r="AW55" s="48">
        <v>-1.249334775429903E-3</v>
      </c>
      <c r="AZ55" s="48">
        <f t="array" ref="AZ55:BA56">(AN55:AO56-AB55:AC56)/AB55:AC56</f>
        <v>1.000000062675236E-2</v>
      </c>
      <c r="BA55" s="48">
        <v>8.2244742744287007E-5</v>
      </c>
      <c r="BC55" s="70">
        <v>0.01</v>
      </c>
    </row>
    <row r="56" spans="1:55">
      <c r="D56" t="s">
        <v>20</v>
      </c>
      <c r="E56" s="4" t="s">
        <v>13</v>
      </c>
      <c r="F56" s="39">
        <v>0.68280851203607906</v>
      </c>
      <c r="G56" s="39">
        <v>5.6217005692062241E-2</v>
      </c>
      <c r="H56" s="39">
        <v>1.4725101891259393</v>
      </c>
      <c r="I56" s="47">
        <v>6.730273844445853E-4</v>
      </c>
      <c r="J56" s="39">
        <v>0.80889242286551966</v>
      </c>
      <c r="K56" s="39">
        <v>7.2202298968597617E-2</v>
      </c>
      <c r="L56" s="39">
        <v>1.8672574964767974</v>
      </c>
      <c r="M56" s="39">
        <v>8.4461813836853364E-4</v>
      </c>
      <c r="Z56" t="s">
        <v>37</v>
      </c>
      <c r="AB56" s="39">
        <v>1.6409605824154903</v>
      </c>
      <c r="AC56" s="39">
        <v>1.8684339311460068</v>
      </c>
      <c r="AF56" s="39">
        <v>1.4014082114791759</v>
      </c>
      <c r="AG56" s="39">
        <v>1.8667609299216146</v>
      </c>
      <c r="AJ56" s="39">
        <v>1.665854775489144</v>
      </c>
      <c r="AK56" s="39">
        <v>1.870033747016622</v>
      </c>
      <c r="AN56" s="39">
        <f>H56</f>
        <v>1.4725101891259393</v>
      </c>
      <c r="AO56" s="39">
        <f>L56</f>
        <v>1.8672574964767974</v>
      </c>
      <c r="AR56" s="48">
        <v>-0.145983013549109</v>
      </c>
      <c r="AS56" s="48">
        <v>-8.9540293424560157E-4</v>
      </c>
      <c r="AV56" s="48">
        <v>1.5170500340117559E-2</v>
      </c>
      <c r="AW56" s="48">
        <v>8.5623357826409522E-4</v>
      </c>
      <c r="AZ56" s="48">
        <v>-0.10265352811923874</v>
      </c>
      <c r="BA56" s="48">
        <v>-6.296367506491335E-4</v>
      </c>
    </row>
    <row r="57" spans="1:55">
      <c r="E57" s="4"/>
      <c r="F57" s="41"/>
      <c r="G57" s="41"/>
      <c r="H57" s="41"/>
      <c r="I57" s="41"/>
      <c r="J57" s="41"/>
      <c r="K57" s="41"/>
      <c r="L57" s="41"/>
      <c r="M57" s="41"/>
      <c r="N57" s="1"/>
      <c r="AB57" s="41"/>
      <c r="AC57" s="41"/>
      <c r="AF57" s="41"/>
      <c r="AG57" s="41"/>
      <c r="AJ57" s="41"/>
      <c r="AK57" s="41"/>
      <c r="AM57" s="49"/>
      <c r="AN57" s="41"/>
      <c r="AO57" s="41"/>
      <c r="AQ57" s="49"/>
      <c r="AU57" s="49"/>
      <c r="AV57" s="49"/>
      <c r="AZ57" s="49"/>
    </row>
    <row r="58" spans="1:55">
      <c r="AB58" t="s">
        <v>46</v>
      </c>
      <c r="AF58" t="s">
        <v>47</v>
      </c>
      <c r="AJ58" t="s">
        <v>48</v>
      </c>
      <c r="AN58" t="s">
        <v>48</v>
      </c>
      <c r="AR58" t="s">
        <v>50</v>
      </c>
      <c r="AV58" t="s">
        <v>49</v>
      </c>
      <c r="AZ58" t="s">
        <v>49</v>
      </c>
    </row>
    <row r="59" spans="1:55">
      <c r="AB59" t="s">
        <v>4</v>
      </c>
      <c r="AD59" t="s">
        <v>8</v>
      </c>
      <c r="AF59" t="s">
        <v>4</v>
      </c>
      <c r="AH59" t="s">
        <v>8</v>
      </c>
      <c r="AJ59" t="s">
        <v>4</v>
      </c>
      <c r="AL59" t="s">
        <v>8</v>
      </c>
      <c r="AN59" t="s">
        <v>4</v>
      </c>
      <c r="AP59" t="s">
        <v>8</v>
      </c>
      <c r="AR59" t="s">
        <v>4</v>
      </c>
      <c r="AT59" t="s">
        <v>8</v>
      </c>
      <c r="AV59" t="s">
        <v>4</v>
      </c>
      <c r="AX59" t="s">
        <v>8</v>
      </c>
      <c r="AZ59" t="s">
        <v>4</v>
      </c>
      <c r="BB59" t="s">
        <v>8</v>
      </c>
    </row>
    <row r="60" spans="1:55">
      <c r="A60" s="43"/>
      <c r="AB60" t="s">
        <v>42</v>
      </c>
      <c r="AC60" t="s">
        <v>43</v>
      </c>
      <c r="AD60" t="s">
        <v>44</v>
      </c>
      <c r="AF60" t="s">
        <v>42</v>
      </c>
      <c r="AG60" t="s">
        <v>43</v>
      </c>
      <c r="AH60" t="s">
        <v>44</v>
      </c>
      <c r="AJ60" t="s">
        <v>42</v>
      </c>
      <c r="AK60" t="s">
        <v>43</v>
      </c>
      <c r="AL60" t="s">
        <v>44</v>
      </c>
      <c r="AN60" t="s">
        <v>42</v>
      </c>
      <c r="AO60" t="s">
        <v>43</v>
      </c>
      <c r="AP60" t="s">
        <v>44</v>
      </c>
      <c r="AR60" t="s">
        <v>42</v>
      </c>
      <c r="AS60" t="s">
        <v>43</v>
      </c>
      <c r="AT60" t="s">
        <v>44</v>
      </c>
      <c r="AV60" t="s">
        <v>42</v>
      </c>
      <c r="AW60" t="s">
        <v>43</v>
      </c>
      <c r="AX60" t="s">
        <v>44</v>
      </c>
      <c r="AZ60" t="s">
        <v>42</v>
      </c>
      <c r="BA60" t="s">
        <v>43</v>
      </c>
      <c r="BB60" t="s">
        <v>44</v>
      </c>
    </row>
    <row r="61" spans="1:55">
      <c r="D61" t="s">
        <v>34</v>
      </c>
      <c r="E61" s="4" t="s">
        <v>14</v>
      </c>
      <c r="N61" s="3" t="s">
        <v>41</v>
      </c>
      <c r="O61" s="39">
        <f t="array" ref="O61:W62">MMULT(O27:W28,O40:W48)</f>
        <v>2.2360999726856938E-5</v>
      </c>
      <c r="P61" s="39">
        <v>2.0298432413723795E-3</v>
      </c>
      <c r="Q61" s="39">
        <v>1.5452489677725476E-3</v>
      </c>
      <c r="R61" s="39">
        <v>1.5941644984491282E-3</v>
      </c>
      <c r="S61" s="47">
        <v>1.7321059471292149E-7</v>
      </c>
      <c r="T61" s="39">
        <v>3.0280247360145907E-5</v>
      </c>
      <c r="U61" s="39">
        <v>1.0255938294315746E-3</v>
      </c>
      <c r="V61" s="39">
        <v>1.3108413634787114E-3</v>
      </c>
      <c r="W61" s="39">
        <v>1.2437964386680691E-7</v>
      </c>
      <c r="Z61" t="s">
        <v>36</v>
      </c>
      <c r="AB61" s="40">
        <f t="array" ref="AB61:AD62">'Ex. 3a,b'!AB73:AD74</f>
        <v>1.5435715137695345</v>
      </c>
      <c r="AC61" s="40">
        <v>1.5924909770243574</v>
      </c>
      <c r="AD61" s="40">
        <v>1.3107335625338159</v>
      </c>
      <c r="AF61" s="40">
        <f t="array" ref="AF61:AH62">'Ex. 3c'!AF61:AH62</f>
        <v>1.5459570118127619</v>
      </c>
      <c r="AG61" s="40">
        <v>1.5948708825698446</v>
      </c>
      <c r="AH61" s="40">
        <v>1.3108868656603081</v>
      </c>
      <c r="AJ61" s="40">
        <f t="array" ref="AJ61:AL62">'Ex. 3d'!AJ61:AL62</f>
        <v>1.5180902301587427</v>
      </c>
      <c r="AK61" s="40">
        <v>1.5670694310524877</v>
      </c>
      <c r="AL61" s="40">
        <v>1.3090960175129358</v>
      </c>
      <c r="AN61" s="40">
        <f>Q61*1000</f>
        <v>1.5452489677725476</v>
      </c>
      <c r="AO61" s="40">
        <f>R61*1000</f>
        <v>1.5941644984491283</v>
      </c>
      <c r="AP61" s="40">
        <f>V61*1000</f>
        <v>1.3108413634787115</v>
      </c>
      <c r="AR61" s="48">
        <f t="array" ref="AR61:AT62">(AF61:AH62-AB61:AD62)/AB61:AD62</f>
        <v>1.5454405720417941E-3</v>
      </c>
      <c r="AS61" s="48">
        <v>1.4944546498681793E-3</v>
      </c>
      <c r="AT61" s="48">
        <v>1.1695979325946651E-4</v>
      </c>
      <c r="AV61" s="48">
        <f t="array" ref="AV61:AX62">(AJ61:AL62-AB61:AD62)/AB61:AD62</f>
        <v>-1.6508003279073438E-2</v>
      </c>
      <c r="AW61" s="48">
        <v>-1.5963384621099051E-2</v>
      </c>
      <c r="AX61" s="48">
        <v>-1.2493347753409999E-3</v>
      </c>
      <c r="AZ61" s="48">
        <f t="array" ref="AZ61:BB62">(AN61:AP62-AB61:AD62)/AB61:AD62</f>
        <v>1.086735527346333E-3</v>
      </c>
      <c r="BA61" s="48">
        <v>1.0508828300540851E-3</v>
      </c>
      <c r="BB61" s="48">
        <v>8.2244742926399471E-5</v>
      </c>
    </row>
    <row r="62" spans="1:55">
      <c r="D62" t="s">
        <v>20</v>
      </c>
      <c r="E62" s="4" t="s">
        <v>13</v>
      </c>
      <c r="O62" s="39">
        <v>5.9581652250405197E-3</v>
      </c>
      <c r="P62" s="39">
        <v>0.84099079916566233</v>
      </c>
      <c r="Q62" s="39">
        <v>1.6226544808641414</v>
      </c>
      <c r="R62" s="39">
        <v>1.0888379527378012</v>
      </c>
      <c r="S62" s="47">
        <v>1.3889966757418617E-4</v>
      </c>
      <c r="T62" s="39">
        <v>1.780182358818079E-2</v>
      </c>
      <c r="U62" s="39">
        <v>0.92904284698823791</v>
      </c>
      <c r="V62" s="39">
        <v>1.867257496477001</v>
      </c>
      <c r="W62" s="39">
        <v>2.3466826661092203E-4</v>
      </c>
      <c r="Z62" t="s">
        <v>37</v>
      </c>
      <c r="AB62" s="40">
        <v>1.6409605824155182</v>
      </c>
      <c r="AC62" s="40">
        <v>1.107101137954877</v>
      </c>
      <c r="AD62" s="40">
        <v>1.8684339311461173</v>
      </c>
      <c r="AF62" s="40">
        <v>1.6149275768310518</v>
      </c>
      <c r="AG62" s="40">
        <v>1.0811291634515796</v>
      </c>
      <c r="AH62" s="40">
        <v>1.8667609299219221</v>
      </c>
      <c r="AJ62" s="40">
        <v>1.6658547754891915</v>
      </c>
      <c r="AK62" s="40">
        <v>1.1319369697488886</v>
      </c>
      <c r="AL62" s="40">
        <v>1.8700337470168724</v>
      </c>
      <c r="AN62" s="40">
        <f>Q62</f>
        <v>1.6226544808641414</v>
      </c>
      <c r="AO62" s="40">
        <f>R62</f>
        <v>1.0888379527378012</v>
      </c>
      <c r="AP62" s="40">
        <f>V62</f>
        <v>1.867257496477001</v>
      </c>
      <c r="AR62" s="48">
        <v>-1.5864491727245179E-2</v>
      </c>
      <c r="AS62" s="48">
        <v>-2.3459441610975851E-2</v>
      </c>
      <c r="AT62" s="48">
        <v>-8.9540293414013753E-4</v>
      </c>
      <c r="AV62" s="48">
        <v>1.5170500340129208E-2</v>
      </c>
      <c r="AW62" s="48">
        <v>2.243320952581648E-2</v>
      </c>
      <c r="AX62" s="48">
        <v>8.5623357833891373E-4</v>
      </c>
      <c r="AZ62" s="48">
        <v>-1.1155722902514785E-2</v>
      </c>
      <c r="BA62" s="48">
        <v>-1.6496401810961001E-2</v>
      </c>
      <c r="BB62" s="48">
        <v>-6.2963675059930237E-4</v>
      </c>
    </row>
    <row r="65" spans="46:46">
      <c r="AT65" t="s">
        <v>101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e7079a-7589-470d-892b-836f3f5ab9a4">
      <Terms xmlns="http://schemas.microsoft.com/office/infopath/2007/PartnerControls"/>
    </lcf76f155ced4ddcb4097134ff3c332f>
    <TaxCatchAll xmlns="9ef6bf99-292f-445d-95df-6a8984d5eb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AED4C651AD5C4F9C61E3D439BD1465" ma:contentTypeVersion="13" ma:contentTypeDescription="Create a new document." ma:contentTypeScope="" ma:versionID="ce2910eb92d412af5e68e906186e456a">
  <xsd:schema xmlns:xsd="http://www.w3.org/2001/XMLSchema" xmlns:xs="http://www.w3.org/2001/XMLSchema" xmlns:p="http://schemas.microsoft.com/office/2006/metadata/properties" xmlns:ns2="90e7079a-7589-470d-892b-836f3f5ab9a4" xmlns:ns3="9ef6bf99-292f-445d-95df-6a8984d5eb85" targetNamespace="http://schemas.microsoft.com/office/2006/metadata/properties" ma:root="true" ma:fieldsID="515374b20a642e181f96822d26be61e3" ns2:_="" ns3:_="">
    <xsd:import namespace="90e7079a-7589-470d-892b-836f3f5ab9a4"/>
    <xsd:import namespace="9ef6bf99-292f-445d-95df-6a8984d5e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079a-7589-470d-892b-836f3f5a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6bf99-292f-445d-95df-6a8984d5eb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5d8e9b5-c8f6-49e6-bbbf-6bb72fe503af}" ma:internalName="TaxCatchAll" ma:showField="CatchAllData" ma:web="9ef6bf99-292f-445d-95df-6a8984d5e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F0796-44F0-4200-BF55-CD810B0863CB}">
  <ds:schemaRefs>
    <ds:schemaRef ds:uri="http://purl.org/dc/terms/"/>
    <ds:schemaRef ds:uri="e67e9a88-35e1-4b39-8da9-a609eb308282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5d44ae6a-e145-4c9d-94e7-ddf9cc58067e"/>
    <ds:schemaRef ds:uri="http://schemas.openxmlformats.org/package/2006/metadata/core-properties"/>
    <ds:schemaRef ds:uri="http://schemas.microsoft.com/office/2006/metadata/properties"/>
    <ds:schemaRef ds:uri="90e7079a-7589-470d-892b-836f3f5ab9a4"/>
    <ds:schemaRef ds:uri="9ef6bf99-292f-445d-95df-6a8984d5eb85"/>
  </ds:schemaRefs>
</ds:datastoreItem>
</file>

<file path=customXml/itemProps2.xml><?xml version="1.0" encoding="utf-8"?>
<ds:datastoreItem xmlns:ds="http://schemas.openxmlformats.org/officeDocument/2006/customXml" ds:itemID="{BD140DD0-F902-4F77-8391-B244E61A19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9C226-DF1D-4715-A970-A61E60776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7079a-7589-470d-892b-836f3f5ab9a4"/>
    <ds:schemaRef ds:uri="9ef6bf99-292f-445d-95df-6a8984d5e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Ex. 1</vt:lpstr>
      <vt:lpstr>Ex. 2</vt:lpstr>
      <vt:lpstr>Ex. 3a,b</vt:lpstr>
      <vt:lpstr>Ex. 3c</vt:lpstr>
      <vt:lpstr>Ex. 3d</vt:lpstr>
      <vt:lpstr>Ex. 3e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Nicolò Golinucci</cp:lastModifiedBy>
  <cp:revision/>
  <dcterms:created xsi:type="dcterms:W3CDTF">2022-05-30T13:39:11Z</dcterms:created>
  <dcterms:modified xsi:type="dcterms:W3CDTF">2026-06-22T09:27:23Z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0x0101007BAED4C651AD5C4F9C61E3D439BD1465</vt:lpwstr>
  </property>
  <property fmtid="{D5CDD505-2E9C-101B-9397-08002B2CF9AE}" pid="3" name="MediaServiceImageTags">
    <vt:lpwstr/>
  </property>
</Properties>
</file>