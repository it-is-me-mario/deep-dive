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https://enextgen22.sharepoint.com/sites/development/Shared Documents/(TR) - Training/Y26M06 - MARIO Deep Dive Training/"/>
    </mc:Choice>
  </mc:AlternateContent>
  <xr:revisionPtr revIDLastSave="65" documentId="8_{740501C4-1A56-45A0-90B9-358810541493}" xr6:coauthVersionLast="47" xr6:coauthVersionMax="47" xr10:uidLastSave="{5E9F297D-B696-47D9-AB86-3F224DB9A82E}"/>
  <bookViews>
    <workbookView xWindow="28680" yWindow="-120" windowWidth="38640" windowHeight="21120" activeTab="5" xr2:uid="{00000000-000D-0000-FFFF-FFFF00000000}"/>
  </bookViews>
  <sheets>
    <sheet name="List of functions" sheetId="9" r:id="rId1"/>
    <sheet name="How to read an IO matrix" sheetId="2" r:id="rId2"/>
    <sheet name="Ex. 1" sheetId="10" r:id="rId3"/>
    <sheet name="Ex. 1 bis" sheetId="11" r:id="rId4"/>
    <sheet name="Ex. 2" sheetId="14" r:id="rId5"/>
    <sheet name="Ex. 3" sheetId="15" r:id="rId6"/>
  </sheets>
  <externalReferences>
    <externalReference r:id="rId7"/>
  </externalReferences>
  <definedNames>
    <definedName name="E">[1]Baseline!$D$24:$O$25</definedName>
    <definedName name="e_coeff">[1]Baseline!$D$49:$O$50</definedName>
    <definedName name="E_Y">[1]Baseline!$Q$24:$Z$25</definedName>
    <definedName name="ee_coeff">[1]Baseline!$D$36:$O$39</definedName>
    <definedName name="ee_Y">[1]Baseline!$Q$11:$V$14</definedName>
    <definedName name="I">'List of functions'!$C$8:$E$10</definedName>
    <definedName name="M">'List of functions'!$C$4:$E$6</definedName>
    <definedName name="n_sectors">[1]Baseline!$B$1</definedName>
    <definedName name="new_ee_mix">'[1]Shock 3 - Power supply mix'!$B$5:$B$8</definedName>
    <definedName name="p">#REF!</definedName>
    <definedName name="solver_eng" localSheetId="0" hidden="1">1</definedName>
    <definedName name="solver_lin" localSheetId="0" hidden="1">2</definedName>
    <definedName name="solver_neg" localSheetId="0" hidden="1">1</definedName>
    <definedName name="solver_num" localSheetId="0" hidden="1">0</definedName>
    <definedName name="solver_opt" localSheetId="0" hidden="1">'List of functions'!$C$4</definedName>
    <definedName name="solver_typ" localSheetId="0" hidden="1">1</definedName>
    <definedName name="solver_val" localSheetId="0" hidden="1">0</definedName>
    <definedName name="solver_ver" localSheetId="0" hidden="1">2</definedName>
    <definedName name="V">'List of functions'!$C$12:$C$14</definedName>
    <definedName name="v_coeff">[1]Baseline!$D$44:$O$47</definedName>
    <definedName name="X_diag">#REF!</definedName>
    <definedName name="Y">[1]Baseline!$Q$6:$Z$17</definedName>
    <definedName name="z_coeff">[1]Baseline!$D$31:$O$42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70" i="10" l="1"/>
  <c r="V45" i="14" l="1"/>
  <c r="V48" i="14"/>
  <c r="F59" i="15" l="1"/>
  <c r="E59" i="15"/>
  <c r="O40" i="15"/>
  <c r="O39" i="15"/>
  <c r="O38" i="15"/>
  <c r="X46" i="14"/>
  <c r="W45" i="14"/>
  <c r="O45" i="14"/>
  <c r="O46" i="14"/>
  <c r="O47" i="14"/>
  <c r="O48" i="14"/>
  <c r="O49" i="14"/>
  <c r="O44" i="14"/>
  <c r="W48" i="14" l="1"/>
  <c r="G43" i="10" a="1"/>
  <c r="G43" i="10" s="1"/>
  <c r="D43" i="10" a="1"/>
  <c r="D43" i="10" s="1"/>
  <c r="F58" i="15"/>
  <c r="E58" i="15"/>
  <c r="L35" i="15" a="1"/>
  <c r="L35" i="15" s="1"/>
  <c r="O35" i="15" s="1"/>
  <c r="Q43" i="15"/>
  <c r="Q42" i="15"/>
  <c r="M94" i="14"/>
  <c r="L94" i="14"/>
  <c r="Q52" i="14"/>
  <c r="Q51" i="14"/>
  <c r="Q49" i="14"/>
  <c r="Q48" i="14"/>
  <c r="Q47" i="14"/>
  <c r="Q46" i="14"/>
  <c r="Q45" i="14"/>
  <c r="Q44" i="14"/>
  <c r="X45" i="14" l="1"/>
  <c r="X48" i="14" s="1"/>
  <c r="H44" i="10"/>
  <c r="G44" i="10"/>
  <c r="H43" i="10"/>
  <c r="E44" i="10"/>
  <c r="D44" i="10"/>
  <c r="E43" i="10"/>
  <c r="G59" i="15"/>
  <c r="G58" i="15"/>
  <c r="L37" i="15"/>
  <c r="O37" i="15" s="1"/>
  <c r="L36" i="15"/>
  <c r="O36" i="15" s="1"/>
  <c r="J43" i="10" l="1" a="1"/>
  <c r="J43" i="10" s="1"/>
  <c r="K43" i="10" l="1"/>
  <c r="K44" i="10"/>
  <c r="J44" i="10"/>
  <c r="E35" i="15" a="1"/>
  <c r="E35" i="15" s="1"/>
  <c r="M43" i="10" a="1"/>
  <c r="S54" i="14" a="1"/>
  <c r="S54" i="14" s="1"/>
  <c r="D78" i="11" a="1"/>
  <c r="D78" i="11" s="1"/>
  <c r="D76" i="11"/>
  <c r="F76" i="11"/>
  <c r="E76" i="11"/>
  <c r="E55" i="11"/>
  <c r="D55" i="11"/>
  <c r="F55" i="11"/>
  <c r="J38" i="11" a="1"/>
  <c r="J38" i="11" s="1"/>
  <c r="C8" i="9" a="1"/>
  <c r="C10" i="9" s="1"/>
  <c r="E36" i="15" l="1"/>
  <c r="F36" i="15"/>
  <c r="G36" i="15"/>
  <c r="E37" i="15"/>
  <c r="F37" i="15"/>
  <c r="G37" i="15"/>
  <c r="F35" i="15"/>
  <c r="G35" i="15"/>
  <c r="M43" i="10"/>
  <c r="M44" i="10"/>
  <c r="N43" i="10"/>
  <c r="N44" i="10"/>
  <c r="J48" i="10" a="1"/>
  <c r="J48" i="10" s="1"/>
  <c r="X57" i="14"/>
  <c r="S58" i="14"/>
  <c r="V54" i="14"/>
  <c r="U58" i="14"/>
  <c r="W56" i="14"/>
  <c r="S56" i="14"/>
  <c r="X58" i="14"/>
  <c r="W57" i="14"/>
  <c r="U57" i="14"/>
  <c r="T58" i="14"/>
  <c r="V57" i="14"/>
  <c r="S59" i="14"/>
  <c r="T59" i="14"/>
  <c r="T56" i="14"/>
  <c r="S55" i="14"/>
  <c r="V58" i="14"/>
  <c r="V59" i="14"/>
  <c r="T57" i="14"/>
  <c r="V56" i="14"/>
  <c r="X59" i="14"/>
  <c r="X55" i="14"/>
  <c r="X56" i="14"/>
  <c r="U54" i="14"/>
  <c r="W58" i="14"/>
  <c r="S57" i="14"/>
  <c r="X54" i="14"/>
  <c r="U56" i="14"/>
  <c r="W59" i="14"/>
  <c r="U59" i="14"/>
  <c r="T54" i="14"/>
  <c r="E69" i="14" s="1" a="1"/>
  <c r="V55" i="14"/>
  <c r="W55" i="14"/>
  <c r="U55" i="14"/>
  <c r="T55" i="14"/>
  <c r="W54" i="14"/>
  <c r="F78" i="11"/>
  <c r="E78" i="11"/>
  <c r="D57" i="11" a="1"/>
  <c r="D57" i="11" s="1"/>
  <c r="L39" i="11"/>
  <c r="L38" i="11"/>
  <c r="L40" i="11"/>
  <c r="J40" i="11"/>
  <c r="K39" i="11"/>
  <c r="K38" i="11"/>
  <c r="D82" i="11" s="1" a="1"/>
  <c r="K40" i="11"/>
  <c r="J39" i="11"/>
  <c r="D48" i="10" a="1"/>
  <c r="D48" i="10" s="1"/>
  <c r="L48" i="10" a="1"/>
  <c r="L48" i="10" s="1"/>
  <c r="F48" i="10" a="1"/>
  <c r="F48" i="10" s="1"/>
  <c r="N48" i="10" a="1"/>
  <c r="N48" i="10" s="1"/>
  <c r="H48" i="10" a="1"/>
  <c r="H48" i="10" s="1"/>
  <c r="D10" i="9"/>
  <c r="E10" i="9"/>
  <c r="C8" i="9"/>
  <c r="D8" i="9"/>
  <c r="E9" i="9"/>
  <c r="E8" i="9"/>
  <c r="C9" i="9"/>
  <c r="D9" i="9"/>
  <c r="E69" i="14" l="1"/>
  <c r="E76" i="14" s="1"/>
  <c r="F76" i="14"/>
  <c r="G76" i="14"/>
  <c r="H76" i="14"/>
  <c r="I76" i="14"/>
  <c r="J76" i="14"/>
  <c r="Q35" i="15" a="1"/>
  <c r="Q35" i="15" s="1"/>
  <c r="D82" i="11"/>
  <c r="F82" i="11"/>
  <c r="E82" i="11"/>
  <c r="S45" i="15" a="1"/>
  <c r="W46" i="15" s="1"/>
  <c r="J49" i="10"/>
  <c r="S43" i="10" a="1"/>
  <c r="P43" i="10" a="1"/>
  <c r="D46" i="11" a="1"/>
  <c r="D46" i="11" s="1"/>
  <c r="E57" i="11"/>
  <c r="F57" i="11"/>
  <c r="N38" i="11" a="1"/>
  <c r="N38" i="11" s="1"/>
  <c r="D49" i="10"/>
  <c r="F49" i="10"/>
  <c r="L49" i="10"/>
  <c r="P48" i="10"/>
  <c r="H49" i="10"/>
  <c r="N49" i="10"/>
  <c r="Q40" i="15" l="1"/>
  <c r="Q38" i="15"/>
  <c r="Q37" i="15"/>
  <c r="Q39" i="15"/>
  <c r="Q36" i="15"/>
  <c r="T45" i="15"/>
  <c r="W45" i="15"/>
  <c r="U46" i="15"/>
  <c r="X50" i="15"/>
  <c r="U47" i="15"/>
  <c r="T48" i="15"/>
  <c r="W50" i="15"/>
  <c r="S46" i="15"/>
  <c r="U49" i="15"/>
  <c r="V47" i="15"/>
  <c r="V45" i="15"/>
  <c r="W49" i="15"/>
  <c r="S49" i="15"/>
  <c r="X46" i="15"/>
  <c r="T47" i="15"/>
  <c r="S48" i="15"/>
  <c r="X49" i="15"/>
  <c r="T46" i="15"/>
  <c r="V46" i="15"/>
  <c r="W48" i="15"/>
  <c r="T50" i="15"/>
  <c r="W47" i="15"/>
  <c r="S47" i="15"/>
  <c r="U48" i="15"/>
  <c r="X48" i="15"/>
  <c r="U50" i="15"/>
  <c r="V48" i="15"/>
  <c r="S50" i="15"/>
  <c r="U45" i="15"/>
  <c r="T49" i="15"/>
  <c r="X47" i="15"/>
  <c r="S45" i="15"/>
  <c r="V49" i="15"/>
  <c r="X45" i="15"/>
  <c r="V50" i="15"/>
  <c r="P44" i="10"/>
  <c r="P43" i="10"/>
  <c r="Q44" i="10"/>
  <c r="Q43" i="10"/>
  <c r="T43" i="10"/>
  <c r="S43" i="10"/>
  <c r="T44" i="10"/>
  <c r="S44" i="10"/>
  <c r="F46" i="11"/>
  <c r="E46" i="11"/>
  <c r="D69" i="11" a="1"/>
  <c r="D69" i="11" s="1"/>
  <c r="D61" i="11" a="1"/>
  <c r="E61" i="11" s="1"/>
  <c r="D48" i="11" a="1"/>
  <c r="N40" i="11"/>
  <c r="N39" i="11"/>
  <c r="P49" i="10"/>
  <c r="E45" i="15" l="1" a="1"/>
  <c r="G48" i="15" s="1"/>
  <c r="D44" i="11" a="1"/>
  <c r="E44" i="11" s="1"/>
  <c r="D80" i="11" a="1"/>
  <c r="E88" i="14" a="1"/>
  <c r="E52" i="15" a="1"/>
  <c r="H52" i="15" s="1"/>
  <c r="V43" i="10" a="1"/>
  <c r="L81" i="14" a="1"/>
  <c r="L85" i="14" s="1"/>
  <c r="F69" i="11"/>
  <c r="E69" i="11"/>
  <c r="D59" i="11" a="1"/>
  <c r="F61" i="11"/>
  <c r="H82" i="11" s="1"/>
  <c r="D61" i="11"/>
  <c r="D48" i="11"/>
  <c r="F48" i="11"/>
  <c r="E48" i="11"/>
  <c r="F47" i="15" l="1"/>
  <c r="I47" i="15"/>
  <c r="H50" i="15"/>
  <c r="E48" i="15"/>
  <c r="E49" i="15"/>
  <c r="J49" i="15"/>
  <c r="G50" i="15"/>
  <c r="F49" i="15"/>
  <c r="E45" i="15"/>
  <c r="J47" i="15"/>
  <c r="H49" i="15"/>
  <c r="F48" i="15"/>
  <c r="J46" i="15"/>
  <c r="I50" i="15"/>
  <c r="E50" i="15"/>
  <c r="F46" i="15"/>
  <c r="I49" i="15"/>
  <c r="J48" i="15"/>
  <c r="J50" i="15"/>
  <c r="G49" i="15"/>
  <c r="I48" i="15"/>
  <c r="G45" i="15"/>
  <c r="G46" i="15"/>
  <c r="H46" i="15"/>
  <c r="E46" i="15"/>
  <c r="H48" i="15"/>
  <c r="H45" i="15"/>
  <c r="I46" i="15"/>
  <c r="F45" i="15"/>
  <c r="F50" i="15"/>
  <c r="G47" i="15"/>
  <c r="E47" i="15"/>
  <c r="H47" i="15"/>
  <c r="J45" i="15"/>
  <c r="I45" i="15"/>
  <c r="D44" i="11"/>
  <c r="F44" i="11"/>
  <c r="D67" i="11" a="1"/>
  <c r="F67" i="11" s="1"/>
  <c r="D80" i="11"/>
  <c r="E80" i="11"/>
  <c r="F80" i="11"/>
  <c r="E88" i="14"/>
  <c r="F88" i="14"/>
  <c r="J88" i="14"/>
  <c r="I88" i="14"/>
  <c r="G88" i="14"/>
  <c r="H88" i="14"/>
  <c r="I52" i="15"/>
  <c r="I53" i="15"/>
  <c r="G53" i="15"/>
  <c r="F53" i="15"/>
  <c r="J52" i="15"/>
  <c r="F52" i="15"/>
  <c r="G52" i="15"/>
  <c r="E53" i="15"/>
  <c r="I59" i="15" s="1"/>
  <c r="H53" i="15"/>
  <c r="J53" i="15"/>
  <c r="E52" i="15"/>
  <c r="G64" i="10"/>
  <c r="V43" i="10"/>
  <c r="V44" i="10"/>
  <c r="W43" i="10"/>
  <c r="W44" i="10"/>
  <c r="M84" i="14"/>
  <c r="L86" i="14"/>
  <c r="L83" i="14"/>
  <c r="M82" i="14"/>
  <c r="L82" i="14"/>
  <c r="L81" i="14"/>
  <c r="M81" i="14"/>
  <c r="M85" i="14"/>
  <c r="L84" i="14"/>
  <c r="M83" i="14"/>
  <c r="M86" i="14"/>
  <c r="D59" i="11"/>
  <c r="F59" i="11"/>
  <c r="E59" i="11"/>
  <c r="H44" i="11"/>
  <c r="J59" i="15" l="1"/>
  <c r="I58" i="15"/>
  <c r="H59" i="11"/>
  <c r="E67" i="11"/>
  <c r="D67" i="11"/>
  <c r="M88" i="14"/>
  <c r="M96" i="14" s="1"/>
  <c r="L88" i="14"/>
  <c r="L96" i="14" s="1"/>
  <c r="J58" i="15"/>
  <c r="S83" i="14"/>
  <c r="Q83" i="14"/>
  <c r="Q81" i="14"/>
  <c r="S81" i="14"/>
  <c r="U83" i="14" l="1"/>
  <c r="U81" i="14"/>
  <c r="Q85" i="14"/>
  <c r="K59" i="15"/>
  <c r="K58" i="15"/>
  <c r="S85" i="14"/>
  <c r="M58" i="15" l="1" a="1"/>
  <c r="M58" i="15" l="1"/>
  <c r="N58" i="15"/>
  <c r="N59" i="15"/>
  <c r="M59" i="15"/>
  <c r="O59" i="15"/>
  <c r="O58"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<sst xmlns="http://schemas.openxmlformats.org/spreadsheetml/2006/main" count="1140" uniqueCount="234">
  <si>
    <t>Sector A</t>
  </si>
  <si>
    <t>Sector B</t>
  </si>
  <si>
    <t>Sector C</t>
  </si>
  <si>
    <t>Final Demand</t>
  </si>
  <si>
    <t>What does this sector need for producing its output?</t>
  </si>
  <si>
    <t>What do final consumers need?</t>
  </si>
  <si>
    <t>Square matrix</t>
  </si>
  <si>
    <t>Identity matrix</t>
  </si>
  <si>
    <t>Vector</t>
  </si>
  <si>
    <t>Function</t>
  </si>
  <si>
    <t>Plain notation</t>
  </si>
  <si>
    <t>Result</t>
  </si>
  <si>
    <r>
      <t xml:space="preserve">Notes and function names in </t>
    </r>
    <r>
      <rPr>
        <b/>
        <sz val="10"/>
        <color theme="8" tint="-0.249977111117893"/>
        <rFont val="Calibri"/>
        <family val="2"/>
        <scheme val="minor"/>
      </rPr>
      <t>Italian</t>
    </r>
    <r>
      <rPr>
        <b/>
        <sz val="10"/>
        <color theme="1"/>
        <rFont val="Calibri"/>
        <family val="2"/>
        <scheme val="minor"/>
      </rPr>
      <t xml:space="preserve"> and in </t>
    </r>
    <r>
      <rPr>
        <b/>
        <sz val="10"/>
        <color theme="5" tint="-0.249977111117893"/>
        <rFont val="Calibri"/>
        <family val="2"/>
        <scheme val="minor"/>
      </rPr>
      <t>English</t>
    </r>
    <r>
      <rPr>
        <b/>
        <sz val="10"/>
        <color theme="1"/>
        <rFont val="Calibri"/>
        <family val="2"/>
        <scheme val="minor"/>
      </rPr>
      <t xml:space="preserve"> (check your version's language)</t>
    </r>
  </si>
  <si>
    <t>Matrix sum</t>
  </si>
  <si>
    <t>only matrices with same dimensions can be summed</t>
  </si>
  <si>
    <t>Matrix inverse</t>
  </si>
  <si>
    <t>only square matrices can be inverted</t>
  </si>
  <si>
    <t>Matrix product</t>
  </si>
  <si>
    <t>matrix multiplication can be done only if first matrix has same columns of the rows of the second matrix</t>
  </si>
  <si>
    <t>Diagonal matrix</t>
  </si>
  <si>
    <t>to diagonalize, use scalar multiplication between the vector to be diagonalized and the identity matrix</t>
  </si>
  <si>
    <t>Transposed matrix</t>
  </si>
  <si>
    <t>rows becomes columns and vice-versa</t>
  </si>
  <si>
    <t>IY</t>
  </si>
  <si>
    <t>zY</t>
  </si>
  <si>
    <t>zzY</t>
  </si>
  <si>
    <t>zzzY</t>
  </si>
  <si>
    <t>zzzzY</t>
  </si>
  <si>
    <t>zzzzzY</t>
  </si>
  <si>
    <t>Column sum</t>
  </si>
  <si>
    <t>MV</t>
  </si>
  <si>
    <t>Linear Algebra in Excel: remember CTRL+SHIFT+ENTER! (not necessary in latest Excel versions)</t>
  </si>
  <si>
    <r>
      <rPr>
        <b/>
        <sz val="10"/>
        <color theme="1"/>
        <rFont val="Calibri"/>
        <family val="2"/>
        <scheme val="minor"/>
      </rPr>
      <t>M</t>
    </r>
    <r>
      <rPr>
        <sz val="10"/>
        <color theme="1"/>
        <rFont val="Calibri"/>
        <family val="2"/>
        <scheme val="minor"/>
      </rPr>
      <t xml:space="preserve"> (3,3)</t>
    </r>
  </si>
  <si>
    <r>
      <rPr>
        <b/>
        <sz val="10"/>
        <color theme="1"/>
        <rFont val="Calibri"/>
        <family val="2"/>
        <scheme val="minor"/>
      </rPr>
      <t>I</t>
    </r>
    <r>
      <rPr>
        <sz val="10"/>
        <color theme="1"/>
        <rFont val="Calibri"/>
        <family val="2"/>
        <scheme val="minor"/>
      </rPr>
      <t xml:space="preserve"> (3,3)</t>
    </r>
  </si>
  <si>
    <t>=MUNIT(3)</t>
  </si>
  <si>
    <t>=MATR.UNIT(3)</t>
  </si>
  <si>
    <r>
      <rPr>
        <b/>
        <sz val="10"/>
        <color theme="1"/>
        <rFont val="Calibri"/>
        <family val="2"/>
        <scheme val="minor"/>
      </rPr>
      <t>V</t>
    </r>
    <r>
      <rPr>
        <sz val="10"/>
        <color theme="1"/>
        <rFont val="Calibri"/>
        <family val="2"/>
        <scheme val="minor"/>
      </rPr>
      <t xml:space="preserve"> (3,1)</t>
    </r>
  </si>
  <si>
    <r>
      <rPr>
        <b/>
        <sz val="10"/>
        <color theme="1"/>
        <rFont val="Calibri"/>
        <family val="2"/>
        <scheme val="minor"/>
      </rPr>
      <t>M</t>
    </r>
    <r>
      <rPr>
        <sz val="10"/>
        <color theme="1"/>
        <rFont val="Calibri"/>
        <family val="2"/>
        <scheme val="minor"/>
      </rPr>
      <t xml:space="preserve"> + </t>
    </r>
    <r>
      <rPr>
        <b/>
        <sz val="10"/>
        <color theme="1"/>
        <rFont val="Calibri"/>
        <family val="2"/>
        <scheme val="minor"/>
      </rPr>
      <t>I</t>
    </r>
  </si>
  <si>
    <r>
      <t>inv(</t>
    </r>
    <r>
      <rPr>
        <b/>
        <sz val="10"/>
        <color theme="1"/>
        <rFont val="Calibri"/>
        <family val="2"/>
        <scheme val="minor"/>
      </rPr>
      <t>M</t>
    </r>
    <r>
      <rPr>
        <sz val="10"/>
        <color theme="1"/>
        <rFont val="Calibri"/>
        <family val="2"/>
        <scheme val="minor"/>
      </rPr>
      <t>)</t>
    </r>
  </si>
  <si>
    <r>
      <t>=MINVERSE(</t>
    </r>
    <r>
      <rPr>
        <b/>
        <sz val="10"/>
        <color theme="5" tint="-0.249977111117893"/>
        <rFont val="Calibri"/>
        <family val="2"/>
        <scheme val="minor"/>
      </rPr>
      <t>M</t>
    </r>
    <r>
      <rPr>
        <sz val="10"/>
        <color theme="5" tint="-0.249977111117893"/>
        <rFont val="Calibri"/>
        <family val="2"/>
        <scheme val="minor"/>
      </rPr>
      <t>)</t>
    </r>
  </si>
  <si>
    <r>
      <t>=MATR.INVERSA(</t>
    </r>
    <r>
      <rPr>
        <b/>
        <sz val="10"/>
        <color theme="8" tint="-0.249977111117893"/>
        <rFont val="Calibri"/>
        <family val="2"/>
        <scheme val="minor"/>
      </rPr>
      <t>M</t>
    </r>
    <r>
      <rPr>
        <sz val="10"/>
        <color theme="8" tint="-0.249977111117893"/>
        <rFont val="Calibri"/>
        <family val="2"/>
        <scheme val="minor"/>
      </rPr>
      <t>)</t>
    </r>
  </si>
  <si>
    <r>
      <t>=MMULT(</t>
    </r>
    <r>
      <rPr>
        <b/>
        <sz val="10"/>
        <color theme="5" tint="-0.249977111117893"/>
        <rFont val="Calibri"/>
        <family val="2"/>
        <scheme val="minor"/>
      </rPr>
      <t>M,V)</t>
    </r>
  </si>
  <si>
    <r>
      <t>=MATR.PRODOTTO(</t>
    </r>
    <r>
      <rPr>
        <b/>
        <sz val="10"/>
        <color theme="8" tint="-0.249977111117893"/>
        <rFont val="Calibri"/>
        <family val="2"/>
        <scheme val="minor"/>
      </rPr>
      <t>M</t>
    </r>
    <r>
      <rPr>
        <sz val="10"/>
        <color theme="8" tint="-0.249977111117893"/>
        <rFont val="Calibri"/>
        <family val="2"/>
        <scheme val="minor"/>
      </rPr>
      <t>;</t>
    </r>
    <r>
      <rPr>
        <b/>
        <sz val="10"/>
        <color theme="8" tint="-0.249977111117893"/>
        <rFont val="Calibri"/>
        <family val="2"/>
        <scheme val="minor"/>
      </rPr>
      <t>V</t>
    </r>
    <r>
      <rPr>
        <sz val="10"/>
        <color theme="8" tint="-0.249977111117893"/>
        <rFont val="Calibri"/>
        <family val="2"/>
        <scheme val="minor"/>
      </rPr>
      <t>)</t>
    </r>
  </si>
  <si>
    <r>
      <t>diag(</t>
    </r>
    <r>
      <rPr>
        <b/>
        <sz val="10"/>
        <color theme="1"/>
        <rFont val="Calibri"/>
        <family val="2"/>
        <scheme val="minor"/>
      </rPr>
      <t>V</t>
    </r>
    <r>
      <rPr>
        <sz val="10"/>
        <color theme="1"/>
        <rFont val="Calibri"/>
        <family val="2"/>
        <scheme val="minor"/>
      </rPr>
      <t>)</t>
    </r>
  </si>
  <si>
    <r>
      <t>=MUNIT(3)*</t>
    </r>
    <r>
      <rPr>
        <b/>
        <sz val="10"/>
        <color theme="5" tint="-0.249977111117893"/>
        <rFont val="Calibri"/>
        <family val="2"/>
        <scheme val="minor"/>
      </rPr>
      <t>V</t>
    </r>
  </si>
  <si>
    <r>
      <t>=MATR.UNIT(3)*</t>
    </r>
    <r>
      <rPr>
        <b/>
        <sz val="10"/>
        <color theme="8" tint="-0.249977111117893"/>
        <rFont val="Calibri"/>
        <family val="2"/>
        <scheme val="minor"/>
      </rPr>
      <t>V</t>
    </r>
  </si>
  <si>
    <r>
      <rPr>
        <b/>
        <sz val="10"/>
        <color theme="1"/>
        <rFont val="Calibri"/>
        <family val="2"/>
        <scheme val="minor"/>
      </rPr>
      <t>M</t>
    </r>
    <r>
      <rPr>
        <sz val="10"/>
        <color theme="1"/>
        <rFont val="Calibri"/>
        <family val="2"/>
        <scheme val="minor"/>
      </rPr>
      <t>'</t>
    </r>
  </si>
  <si>
    <r>
      <t>=TRANSPOSE(</t>
    </r>
    <r>
      <rPr>
        <b/>
        <sz val="10"/>
        <color theme="5" tint="-0.249977111117893"/>
        <rFont val="Calibri"/>
        <family val="2"/>
        <scheme val="minor"/>
      </rPr>
      <t>M</t>
    </r>
    <r>
      <rPr>
        <sz val="10"/>
        <color theme="5" tint="-0.249977111117893"/>
        <rFont val="Calibri"/>
        <family val="2"/>
        <scheme val="minor"/>
      </rPr>
      <t>)</t>
    </r>
  </si>
  <si>
    <r>
      <t>=MATR.TRASPOSTA(</t>
    </r>
    <r>
      <rPr>
        <b/>
        <sz val="10"/>
        <color theme="8" tint="-0.249977111117893"/>
        <rFont val="Calibri"/>
        <family val="2"/>
        <scheme val="minor"/>
      </rPr>
      <t>M</t>
    </r>
    <r>
      <rPr>
        <sz val="10"/>
        <color theme="8" tint="-0.249977111117893"/>
        <rFont val="Calibri"/>
        <family val="2"/>
        <scheme val="minor"/>
      </rPr>
      <t>)</t>
    </r>
  </si>
  <si>
    <t>Where is sector's A output flowing?</t>
  </si>
  <si>
    <t>↑↑↑</t>
  </si>
  <si>
    <t>Supplier's perspective</t>
  </si>
  <si>
    <t>Consumer's perspective</t>
  </si>
  <si>
    <t>units</t>
  </si>
  <si>
    <t>steel</t>
  </si>
  <si>
    <t>goods &amp; services</t>
  </si>
  <si>
    <t>Symbolic solution</t>
  </si>
  <si>
    <t>z</t>
  </si>
  <si>
    <t>Numeric solution</t>
  </si>
  <si>
    <t>labour</t>
  </si>
  <si>
    <t>pp</t>
  </si>
  <si>
    <t>r</t>
  </si>
  <si>
    <t>Y</t>
  </si>
  <si>
    <t>X</t>
  </si>
  <si>
    <t>1. Empirical demonstration</t>
  </si>
  <si>
    <t>t=0</t>
  </si>
  <si>
    <t>t=1</t>
  </si>
  <si>
    <t>t=2</t>
  </si>
  <si>
    <t>t=3</t>
  </si>
  <si>
    <t>t=4</t>
  </si>
  <si>
    <t>t=5</t>
  </si>
  <si>
    <t>Z</t>
  </si>
  <si>
    <t>R</t>
  </si>
  <si>
    <t>w</t>
  </si>
  <si>
    <r>
      <t xml:space="preserve">w </t>
    </r>
    <r>
      <rPr>
        <sz val="11"/>
        <color theme="1"/>
        <rFont val="Calibri"/>
        <family val="2"/>
        <scheme val="minor"/>
      </rPr>
      <t>= inv(</t>
    </r>
    <r>
      <rPr>
        <b/>
        <sz val="11"/>
        <color theme="1"/>
        <rFont val="Calibri"/>
        <family val="2"/>
        <scheme val="minor"/>
      </rPr>
      <t>I</t>
    </r>
    <r>
      <rPr>
        <sz val="11"/>
        <color theme="1"/>
        <rFont val="Calibri"/>
        <family val="2"/>
        <scheme val="minor"/>
      </rPr>
      <t>-</t>
    </r>
    <r>
      <rPr>
        <b/>
        <sz val="11"/>
        <color theme="1"/>
        <rFont val="Calibri"/>
        <family val="2"/>
        <scheme val="minor"/>
      </rPr>
      <t>z</t>
    </r>
    <r>
      <rPr>
        <sz val="11"/>
        <color theme="1"/>
        <rFont val="Calibri"/>
        <family val="2"/>
        <scheme val="minor"/>
      </rPr>
      <t>)</t>
    </r>
  </si>
  <si>
    <r>
      <rPr>
        <b/>
        <sz val="11"/>
        <color theme="1"/>
        <rFont val="Calibri"/>
        <family val="2"/>
        <scheme val="minor"/>
      </rPr>
      <t xml:space="preserve">X </t>
    </r>
    <r>
      <rPr>
        <sz val="11"/>
        <color theme="1"/>
        <rFont val="Calibri"/>
        <family val="2"/>
        <scheme val="minor"/>
      </rPr>
      <t xml:space="preserve">= </t>
    </r>
    <r>
      <rPr>
        <b/>
        <sz val="11"/>
        <color theme="1"/>
        <rFont val="Calibri"/>
        <family val="2"/>
        <scheme val="minor"/>
      </rPr>
      <t>wY</t>
    </r>
  </si>
  <si>
    <t>Production-based accounting (PBA)</t>
  </si>
  <si>
    <t>3. Compute the total sectoral demand of workers and the total embodiment of workers in the final demand.</t>
  </si>
  <si>
    <t>Consumption-based accounting (CBA)</t>
  </si>
  <si>
    <t>R_tot</t>
  </si>
  <si>
    <t>data</t>
  </si>
  <si>
    <t>final demand</t>
  </si>
  <si>
    <t>1. Fill the input-output table. Compute the total production from each sector and the number of needed workers.</t>
  </si>
  <si>
    <t>wages</t>
  </si>
  <si>
    <t>v</t>
  </si>
  <si>
    <t>p</t>
  </si>
  <si>
    <t>price indices</t>
  </si>
  <si>
    <t>price index</t>
  </si>
  <si>
    <t>V</t>
  </si>
  <si>
    <t>V_tot = Money earned by workers</t>
  </si>
  <si>
    <t>Decomposition of p</t>
  </si>
  <si>
    <r>
      <rPr>
        <b/>
        <sz val="11"/>
        <color theme="1"/>
        <rFont val="Calibri"/>
        <family val="2"/>
        <scheme val="minor"/>
      </rPr>
      <t>p</t>
    </r>
    <r>
      <rPr>
        <sz val="11"/>
        <color theme="1"/>
        <rFont val="Calibri"/>
        <family val="2"/>
        <scheme val="minor"/>
      </rPr>
      <t xml:space="preserve"> = </t>
    </r>
    <r>
      <rPr>
        <b/>
        <sz val="11"/>
        <color theme="1"/>
        <rFont val="Calibri"/>
        <family val="2"/>
        <scheme val="minor"/>
      </rPr>
      <t>vw</t>
    </r>
    <r>
      <rPr>
        <sz val="11"/>
        <color theme="1"/>
        <rFont val="Calibri"/>
        <family val="2"/>
        <scheme val="minor"/>
      </rPr>
      <t xml:space="preserve"> --&gt; </t>
    </r>
    <r>
      <rPr>
        <b/>
        <sz val="11"/>
        <color theme="1"/>
        <rFont val="Calibri"/>
        <family val="2"/>
        <scheme val="minor"/>
      </rPr>
      <t>p</t>
    </r>
    <r>
      <rPr>
        <sz val="11"/>
        <color theme="1"/>
        <rFont val="Calibri"/>
        <family val="2"/>
        <scheme val="minor"/>
      </rPr>
      <t xml:space="preserve"> = </t>
    </r>
    <r>
      <rPr>
        <b/>
        <sz val="11"/>
        <color theme="1"/>
        <rFont val="Calibri"/>
        <family val="2"/>
        <scheme val="minor"/>
      </rPr>
      <t>v</t>
    </r>
    <r>
      <rPr>
        <sz val="11"/>
        <color theme="1"/>
        <rFont val="Calibri"/>
        <family val="2"/>
        <scheme val="minor"/>
      </rPr>
      <t xml:space="preserve"> inv(</t>
    </r>
    <r>
      <rPr>
        <b/>
        <sz val="11"/>
        <color theme="1"/>
        <rFont val="Calibri"/>
        <family val="2"/>
        <scheme val="minor"/>
      </rPr>
      <t>I</t>
    </r>
    <r>
      <rPr>
        <sz val="11"/>
        <color theme="1"/>
        <rFont val="Calibri"/>
        <family val="2"/>
        <scheme val="minor"/>
      </rPr>
      <t>-</t>
    </r>
    <r>
      <rPr>
        <b/>
        <sz val="11"/>
        <color theme="1"/>
        <rFont val="Calibri"/>
        <family val="2"/>
        <scheme val="minor"/>
      </rPr>
      <t>z</t>
    </r>
    <r>
      <rPr>
        <sz val="11"/>
        <color theme="1"/>
        <rFont val="Calibri"/>
        <family val="2"/>
        <scheme val="minor"/>
      </rPr>
      <t xml:space="preserve">) --&gt; </t>
    </r>
    <r>
      <rPr>
        <b/>
        <sz val="11"/>
        <color theme="1"/>
        <rFont val="Calibri"/>
        <family val="2"/>
        <scheme val="minor"/>
      </rPr>
      <t xml:space="preserve">p </t>
    </r>
    <r>
      <rPr>
        <sz val="11"/>
        <color theme="1"/>
        <rFont val="Calibri"/>
        <family val="2"/>
        <scheme val="minor"/>
      </rPr>
      <t>(</t>
    </r>
    <r>
      <rPr>
        <b/>
        <sz val="11"/>
        <color theme="1"/>
        <rFont val="Calibri"/>
        <family val="2"/>
        <scheme val="minor"/>
      </rPr>
      <t>I</t>
    </r>
    <r>
      <rPr>
        <sz val="11"/>
        <color theme="1"/>
        <rFont val="Calibri"/>
        <family val="2"/>
        <scheme val="minor"/>
      </rPr>
      <t>-</t>
    </r>
    <r>
      <rPr>
        <b/>
        <sz val="11"/>
        <color theme="1"/>
        <rFont val="Calibri"/>
        <family val="2"/>
        <scheme val="minor"/>
      </rPr>
      <t>z</t>
    </r>
    <r>
      <rPr>
        <sz val="11"/>
        <color theme="1"/>
        <rFont val="Calibri"/>
        <family val="2"/>
        <scheme val="minor"/>
      </rPr>
      <t xml:space="preserve">) = </t>
    </r>
    <r>
      <rPr>
        <b/>
        <sz val="11"/>
        <color theme="1"/>
        <rFont val="Calibri"/>
        <family val="2"/>
        <scheme val="minor"/>
      </rPr>
      <t>v</t>
    </r>
    <r>
      <rPr>
        <sz val="11"/>
        <color theme="1"/>
        <rFont val="Calibri"/>
        <family val="2"/>
        <scheme val="minor"/>
      </rPr>
      <t xml:space="preserve"> --&gt; </t>
    </r>
    <r>
      <rPr>
        <b/>
        <sz val="11"/>
        <color theme="1"/>
        <rFont val="Calibri"/>
        <family val="2"/>
        <scheme val="minor"/>
      </rPr>
      <t xml:space="preserve">p </t>
    </r>
    <r>
      <rPr>
        <sz val="11"/>
        <color theme="1"/>
        <rFont val="Calibri"/>
        <family val="2"/>
        <scheme val="minor"/>
      </rPr>
      <t xml:space="preserve">- </t>
    </r>
    <r>
      <rPr>
        <b/>
        <sz val="11"/>
        <color theme="1"/>
        <rFont val="Calibri"/>
        <family val="2"/>
        <scheme val="minor"/>
      </rPr>
      <t>pz</t>
    </r>
    <r>
      <rPr>
        <sz val="11"/>
        <color theme="1"/>
        <rFont val="Calibri"/>
        <family val="2"/>
        <scheme val="minor"/>
      </rPr>
      <t xml:space="preserve"> = </t>
    </r>
    <r>
      <rPr>
        <b/>
        <sz val="11"/>
        <color theme="1"/>
        <rFont val="Calibri"/>
        <family val="2"/>
        <scheme val="minor"/>
      </rPr>
      <t>v</t>
    </r>
    <r>
      <rPr>
        <sz val="11"/>
        <color theme="1"/>
        <rFont val="Calibri"/>
        <family val="2"/>
        <scheme val="minor"/>
      </rPr>
      <t xml:space="preserve"> --&gt; </t>
    </r>
    <r>
      <rPr>
        <b/>
        <sz val="11"/>
        <color theme="1"/>
        <rFont val="Calibri"/>
        <family val="2"/>
        <scheme val="minor"/>
      </rPr>
      <t>p</t>
    </r>
    <r>
      <rPr>
        <sz val="11"/>
        <color theme="1"/>
        <rFont val="Calibri"/>
        <family val="2"/>
        <scheme val="minor"/>
      </rPr>
      <t xml:space="preserve"> = </t>
    </r>
    <r>
      <rPr>
        <b/>
        <sz val="11"/>
        <color theme="1"/>
        <rFont val="Calibri"/>
        <family val="2"/>
        <scheme val="minor"/>
      </rPr>
      <t>pz</t>
    </r>
    <r>
      <rPr>
        <sz val="11"/>
        <color theme="1"/>
        <rFont val="Calibri"/>
        <family val="2"/>
        <scheme val="minor"/>
      </rPr>
      <t>+</t>
    </r>
    <r>
      <rPr>
        <b/>
        <sz val="11"/>
        <color theme="1"/>
        <rFont val="Calibri"/>
        <family val="2"/>
        <scheme val="minor"/>
      </rPr>
      <t>v</t>
    </r>
  </si>
  <si>
    <t>pz</t>
  </si>
  <si>
    <t>z (3,3)</t>
  </si>
  <si>
    <t>v (1,3)</t>
  </si>
  <si>
    <t>r (1,3)</t>
  </si>
  <si>
    <t>Y (3,1)</t>
  </si>
  <si>
    <r>
      <t xml:space="preserve">w (3,3) </t>
    </r>
    <r>
      <rPr>
        <sz val="11"/>
        <color theme="1"/>
        <rFont val="Calibri"/>
        <family val="2"/>
        <scheme val="minor"/>
      </rPr>
      <t>= inv(</t>
    </r>
    <r>
      <rPr>
        <b/>
        <sz val="11"/>
        <color theme="1"/>
        <rFont val="Calibri"/>
        <family val="2"/>
        <scheme val="minor"/>
      </rPr>
      <t>I</t>
    </r>
    <r>
      <rPr>
        <sz val="11"/>
        <color theme="1"/>
        <rFont val="Calibri"/>
        <family val="2"/>
        <scheme val="minor"/>
      </rPr>
      <t>-</t>
    </r>
    <r>
      <rPr>
        <b/>
        <sz val="11"/>
        <color theme="1"/>
        <rFont val="Calibri"/>
        <family val="2"/>
        <scheme val="minor"/>
      </rPr>
      <t>z</t>
    </r>
    <r>
      <rPr>
        <sz val="11"/>
        <color theme="1"/>
        <rFont val="Calibri"/>
        <family val="2"/>
        <scheme val="minor"/>
      </rPr>
      <t>)</t>
    </r>
  </si>
  <si>
    <r>
      <rPr>
        <b/>
        <sz val="11"/>
        <color theme="1"/>
        <rFont val="Calibri"/>
        <family val="2"/>
        <scheme val="minor"/>
      </rPr>
      <t xml:space="preserve">X (3,1) </t>
    </r>
    <r>
      <rPr>
        <sz val="11"/>
        <color theme="1"/>
        <rFont val="Calibri"/>
        <family val="2"/>
        <scheme val="minor"/>
      </rPr>
      <t xml:space="preserve">= </t>
    </r>
    <r>
      <rPr>
        <b/>
        <sz val="11"/>
        <color theme="1"/>
        <rFont val="Calibri"/>
        <family val="2"/>
        <scheme val="minor"/>
      </rPr>
      <t>wY</t>
    </r>
  </si>
  <si>
    <r>
      <t xml:space="preserve">Z (3,3) </t>
    </r>
    <r>
      <rPr>
        <sz val="11"/>
        <color theme="1"/>
        <rFont val="Calibri"/>
        <family val="2"/>
        <scheme val="minor"/>
      </rPr>
      <t xml:space="preserve">= </t>
    </r>
    <r>
      <rPr>
        <b/>
        <sz val="11"/>
        <color theme="1"/>
        <rFont val="Calibri"/>
        <family val="2"/>
        <scheme val="minor"/>
      </rPr>
      <t>z</t>
    </r>
    <r>
      <rPr>
        <sz val="11"/>
        <color theme="1"/>
        <rFont val="Calibri"/>
        <family val="2"/>
        <scheme val="minor"/>
      </rPr>
      <t xml:space="preserve"> diag(</t>
    </r>
    <r>
      <rPr>
        <b/>
        <sz val="11"/>
        <color theme="1"/>
        <rFont val="Calibri"/>
        <family val="2"/>
        <scheme val="minor"/>
      </rPr>
      <t>X</t>
    </r>
    <r>
      <rPr>
        <sz val="11"/>
        <color theme="1"/>
        <rFont val="Calibri"/>
        <family val="2"/>
        <scheme val="minor"/>
      </rPr>
      <t>)</t>
    </r>
  </si>
  <si>
    <r>
      <t xml:space="preserve">R (1,3) </t>
    </r>
    <r>
      <rPr>
        <sz val="11"/>
        <color theme="1"/>
        <rFont val="Calibri"/>
        <family val="2"/>
        <scheme val="minor"/>
      </rPr>
      <t>= r diag(</t>
    </r>
    <r>
      <rPr>
        <b/>
        <sz val="11"/>
        <color theme="1"/>
        <rFont val="Calibri"/>
        <family val="2"/>
        <scheme val="minor"/>
      </rPr>
      <t>X</t>
    </r>
    <r>
      <rPr>
        <sz val="11"/>
        <color theme="1"/>
        <rFont val="Calibri"/>
        <family val="2"/>
        <scheme val="minor"/>
      </rPr>
      <t>)</t>
    </r>
  </si>
  <si>
    <r>
      <rPr>
        <b/>
        <sz val="11"/>
        <color theme="1"/>
        <rFont val="Calibri"/>
        <family val="2"/>
        <scheme val="minor"/>
      </rPr>
      <t xml:space="preserve">re (1,3) </t>
    </r>
    <r>
      <rPr>
        <sz val="11"/>
        <color theme="1"/>
        <rFont val="Calibri"/>
        <family val="2"/>
        <scheme val="minor"/>
      </rPr>
      <t xml:space="preserve">= </t>
    </r>
    <r>
      <rPr>
        <b/>
        <sz val="11"/>
        <color theme="1"/>
        <rFont val="Calibri"/>
        <family val="2"/>
        <scheme val="minor"/>
      </rPr>
      <t>rw</t>
    </r>
  </si>
  <si>
    <r>
      <rPr>
        <b/>
        <sz val="11"/>
        <color theme="1"/>
        <rFont val="Calibri"/>
        <family val="2"/>
        <scheme val="minor"/>
      </rPr>
      <t>Re</t>
    </r>
    <r>
      <rPr>
        <sz val="11"/>
        <color theme="1"/>
        <rFont val="Calibri"/>
        <family val="2"/>
        <scheme val="minor"/>
      </rPr>
      <t xml:space="preserve"> (1,3) = </t>
    </r>
    <r>
      <rPr>
        <b/>
        <sz val="11"/>
        <color theme="1"/>
        <rFont val="Calibri"/>
        <family val="2"/>
        <scheme val="minor"/>
      </rPr>
      <t>re</t>
    </r>
    <r>
      <rPr>
        <sz val="11"/>
        <color theme="1"/>
        <rFont val="Calibri"/>
        <family val="2"/>
        <scheme val="minor"/>
      </rPr>
      <t xml:space="preserve"> diag(</t>
    </r>
    <r>
      <rPr>
        <b/>
        <sz val="11"/>
        <color theme="1"/>
        <rFont val="Calibri"/>
        <family val="2"/>
        <scheme val="minor"/>
      </rPr>
      <t>Y</t>
    </r>
    <r>
      <rPr>
        <sz val="11"/>
        <color theme="1"/>
        <rFont val="Calibri"/>
        <family val="2"/>
        <scheme val="minor"/>
      </rPr>
      <t>)</t>
    </r>
  </si>
  <si>
    <r>
      <rPr>
        <b/>
        <sz val="11"/>
        <color theme="1"/>
        <rFont val="Calibri"/>
        <family val="2"/>
        <scheme val="minor"/>
      </rPr>
      <t>V</t>
    </r>
    <r>
      <rPr>
        <sz val="11"/>
        <color theme="1"/>
        <rFont val="Calibri"/>
        <family val="2"/>
        <scheme val="minor"/>
      </rPr>
      <t xml:space="preserve"> </t>
    </r>
    <r>
      <rPr>
        <b/>
        <sz val="11"/>
        <color theme="1"/>
        <rFont val="Calibri"/>
        <family val="2"/>
        <scheme val="minor"/>
      </rPr>
      <t xml:space="preserve">(1,3) </t>
    </r>
    <r>
      <rPr>
        <sz val="11"/>
        <color theme="1"/>
        <rFont val="Calibri"/>
        <family val="2"/>
        <scheme val="minor"/>
      </rPr>
      <t xml:space="preserve">= </t>
    </r>
    <r>
      <rPr>
        <b/>
        <sz val="11"/>
        <color theme="1"/>
        <rFont val="Calibri"/>
        <family val="2"/>
        <scheme val="minor"/>
      </rPr>
      <t>v</t>
    </r>
    <r>
      <rPr>
        <sz val="11"/>
        <color theme="1"/>
        <rFont val="Calibri"/>
        <family val="2"/>
        <scheme val="minor"/>
      </rPr>
      <t xml:space="preserve"> diag(</t>
    </r>
    <r>
      <rPr>
        <b/>
        <sz val="11"/>
        <color theme="1"/>
        <rFont val="Calibri"/>
        <family val="2"/>
        <scheme val="minor"/>
      </rPr>
      <t>X</t>
    </r>
    <r>
      <rPr>
        <sz val="11"/>
        <color theme="1"/>
        <rFont val="Calibri"/>
        <family val="2"/>
        <scheme val="minor"/>
      </rPr>
      <t>)</t>
    </r>
  </si>
  <si>
    <t>p (1,3) = vw</t>
  </si>
  <si>
    <t>data to be converted</t>
  </si>
  <si>
    <t>new data to be converted</t>
  </si>
  <si>
    <t>v_new</t>
  </si>
  <si>
    <t>V_new</t>
  </si>
  <si>
    <t>p_new</t>
  </si>
  <si>
    <t>region</t>
  </si>
  <si>
    <t>EU27</t>
  </si>
  <si>
    <t>RoW</t>
  </si>
  <si>
    <t>Primary</t>
  </si>
  <si>
    <t>Industry</t>
  </si>
  <si>
    <t>Services</t>
  </si>
  <si>
    <t>Final demand</t>
  </si>
  <si>
    <t>R_Y</t>
  </si>
  <si>
    <t>Value added</t>
  </si>
  <si>
    <t>CO2 emissions</t>
  </si>
  <si>
    <t>Let us consider a Technology-by-Technology Multi-Regional Input-Output Table (MRIO, defined in monetary units for year 2019), with two regions (EU27, Rest of the World), each defined by three technologies (Primary, Industry and Services sectors). It is requested to:</t>
  </si>
  <si>
    <t>1. After calculating technical and environmental coefficients matrices, apply the appropriate Leontief models to determine price indices and CO2 footprints specific to the unit of technology activity (in €/€ and kg/€ respectively). Is the database representing a “balanced” economy?</t>
  </si>
  <si>
    <t>technologies</t>
  </si>
  <si>
    <t>production-based</t>
  </si>
  <si>
    <t>consumption-based</t>
  </si>
  <si>
    <t>CO2 embedded in final demand (domestic + imported products)</t>
  </si>
  <si>
    <t>direct intermediate CO2 emissions</t>
  </si>
  <si>
    <t>EU27 is a net carbon importer</t>
  </si>
  <si>
    <t>delta</t>
  </si>
  <si>
    <t>3. For each region, compare the CO2 emissions embedded in final demand with intermediate direct CO2 emissions. _x000B_How much CO2 emissions are embodied in international trade? _x000B_Which region can be defined as the “net carbon importer”?</t>
  </si>
  <si>
    <t>Z (6,6)</t>
  </si>
  <si>
    <t>Y (6,2)</t>
  </si>
  <si>
    <r>
      <rPr>
        <b/>
        <sz val="11"/>
        <color theme="1"/>
        <rFont val="Calibri"/>
        <family val="2"/>
        <scheme val="minor"/>
      </rPr>
      <t>X (6,1)</t>
    </r>
    <r>
      <rPr>
        <sz val="11"/>
        <color theme="1"/>
        <rFont val="Calibri"/>
        <family val="2"/>
        <scheme val="minor"/>
      </rPr>
      <t xml:space="preserve"> = </t>
    </r>
    <r>
      <rPr>
        <b/>
        <sz val="11"/>
        <color theme="1"/>
        <rFont val="Calibri"/>
        <family val="2"/>
        <scheme val="minor"/>
      </rPr>
      <t>Z</t>
    </r>
    <r>
      <rPr>
        <sz val="11"/>
        <color theme="1"/>
        <rFont val="Calibri"/>
        <family val="2"/>
        <scheme val="minor"/>
      </rPr>
      <t>*</t>
    </r>
    <r>
      <rPr>
        <b/>
        <sz val="11"/>
        <color theme="1"/>
        <rFont val="Calibri"/>
        <family val="2"/>
        <scheme val="minor"/>
      </rPr>
      <t>i</t>
    </r>
    <r>
      <rPr>
        <sz val="11"/>
        <color theme="1"/>
        <rFont val="Calibri"/>
        <family val="2"/>
        <scheme val="minor"/>
      </rPr>
      <t xml:space="preserve">(rt,1) + </t>
    </r>
    <r>
      <rPr>
        <b/>
        <sz val="11"/>
        <color theme="1"/>
        <rFont val="Calibri"/>
        <family val="2"/>
        <scheme val="minor"/>
      </rPr>
      <t>Y</t>
    </r>
    <r>
      <rPr>
        <sz val="11"/>
        <color theme="1"/>
        <rFont val="Calibri"/>
        <family val="2"/>
        <scheme val="minor"/>
      </rPr>
      <t>*</t>
    </r>
    <r>
      <rPr>
        <b/>
        <sz val="11"/>
        <color theme="1"/>
        <rFont val="Calibri"/>
        <family val="2"/>
        <scheme val="minor"/>
      </rPr>
      <t>i</t>
    </r>
    <r>
      <rPr>
        <sz val="11"/>
        <color theme="1"/>
        <rFont val="Calibri"/>
        <family val="2"/>
        <scheme val="minor"/>
      </rPr>
      <t>(rt,1)</t>
    </r>
  </si>
  <si>
    <t>Rtot</t>
  </si>
  <si>
    <r>
      <t xml:space="preserve">w (6,6) </t>
    </r>
    <r>
      <rPr>
        <sz val="11"/>
        <color theme="1"/>
        <rFont val="Calibri"/>
        <family val="2"/>
        <scheme val="minor"/>
      </rPr>
      <t>= inv(</t>
    </r>
    <r>
      <rPr>
        <b/>
        <sz val="11"/>
        <color theme="1"/>
        <rFont val="Calibri"/>
        <family val="2"/>
        <scheme val="minor"/>
      </rPr>
      <t>I</t>
    </r>
    <r>
      <rPr>
        <sz val="11"/>
        <color theme="1"/>
        <rFont val="Calibri"/>
        <family val="2"/>
        <scheme val="minor"/>
      </rPr>
      <t>-</t>
    </r>
    <r>
      <rPr>
        <b/>
        <sz val="11"/>
        <color theme="1"/>
        <rFont val="Calibri"/>
        <family val="2"/>
        <scheme val="minor"/>
      </rPr>
      <t>z</t>
    </r>
    <r>
      <rPr>
        <sz val="11"/>
        <color theme="1"/>
        <rFont val="Calibri"/>
        <family val="2"/>
        <scheme val="minor"/>
      </rPr>
      <t>)</t>
    </r>
  </si>
  <si>
    <t>z (6,6)</t>
  </si>
  <si>
    <t>r (2,6)</t>
  </si>
  <si>
    <t xml:space="preserve">Apply a numerical shock to the original MRIO table, simulating a scenario in which EU27 is shutting down all imports from RoW, producing the same imported products domestically. Determine the relative changes in World Value added, CO2 emissions (assume direct CO2 emissions of final demand to be constant). </t>
  </si>
  <si>
    <t>delta%</t>
  </si>
  <si>
    <t>World</t>
  </si>
  <si>
    <t>R pre-shock</t>
  </si>
  <si>
    <t>R post-shock</t>
  </si>
  <si>
    <t>I</t>
  </si>
  <si>
    <t>zz</t>
  </si>
  <si>
    <t>zzz</t>
  </si>
  <si>
    <t>zzzz</t>
  </si>
  <si>
    <t>zzzzz</t>
  </si>
  <si>
    <t>sum</t>
  </si>
  <si>
    <t>+</t>
  </si>
  <si>
    <t>=</t>
  </si>
  <si>
    <r>
      <t xml:space="preserve">roughly = </t>
    </r>
    <r>
      <rPr>
        <b/>
        <sz val="11"/>
        <color theme="1"/>
        <rFont val="Calibri"/>
        <family val="2"/>
        <scheme val="minor"/>
      </rPr>
      <t>X</t>
    </r>
  </si>
  <si>
    <r>
      <t xml:space="preserve">roughly = </t>
    </r>
    <r>
      <rPr>
        <b/>
        <sz val="11"/>
        <color theme="1"/>
        <rFont val="Calibri"/>
        <family val="2"/>
        <scheme val="minor"/>
      </rPr>
      <t>w</t>
    </r>
  </si>
  <si>
    <t>Y (2,1)</t>
  </si>
  <si>
    <r>
      <t xml:space="preserve">w (2,2) </t>
    </r>
    <r>
      <rPr>
        <sz val="11"/>
        <color theme="1"/>
        <rFont val="Calibri"/>
        <family val="2"/>
        <scheme val="minor"/>
      </rPr>
      <t>= inv(</t>
    </r>
    <r>
      <rPr>
        <b/>
        <sz val="11"/>
        <color theme="1"/>
        <rFont val="Calibri"/>
        <family val="2"/>
        <scheme val="minor"/>
      </rPr>
      <t>I</t>
    </r>
    <r>
      <rPr>
        <sz val="11"/>
        <color theme="1"/>
        <rFont val="Calibri"/>
        <family val="2"/>
        <scheme val="minor"/>
      </rPr>
      <t>-</t>
    </r>
    <r>
      <rPr>
        <b/>
        <sz val="11"/>
        <color theme="1"/>
        <rFont val="Calibri"/>
        <family val="2"/>
        <scheme val="minor"/>
      </rPr>
      <t>z</t>
    </r>
    <r>
      <rPr>
        <sz val="11"/>
        <color theme="1"/>
        <rFont val="Calibri"/>
        <family val="2"/>
        <scheme val="minor"/>
      </rPr>
      <t>)</t>
    </r>
  </si>
  <si>
    <r>
      <rPr>
        <b/>
        <sz val="11"/>
        <color theme="1"/>
        <rFont val="Calibri"/>
        <family val="2"/>
        <scheme val="minor"/>
      </rPr>
      <t xml:space="preserve">X (2,1) </t>
    </r>
    <r>
      <rPr>
        <sz val="11"/>
        <color theme="1"/>
        <rFont val="Calibri"/>
        <family val="2"/>
        <scheme val="minor"/>
      </rPr>
      <t xml:space="preserve">= </t>
    </r>
    <r>
      <rPr>
        <b/>
        <sz val="11"/>
        <color theme="1"/>
        <rFont val="Calibri"/>
        <family val="2"/>
        <scheme val="minor"/>
      </rPr>
      <t>wY</t>
    </r>
  </si>
  <si>
    <t>r (1,2)</t>
  </si>
  <si>
    <r>
      <t xml:space="preserve">Z (2.2) </t>
    </r>
    <r>
      <rPr>
        <sz val="11"/>
        <color theme="1"/>
        <rFont val="Calibri"/>
        <family val="2"/>
        <scheme val="minor"/>
      </rPr>
      <t xml:space="preserve">= </t>
    </r>
    <r>
      <rPr>
        <b/>
        <sz val="11"/>
        <color theme="1"/>
        <rFont val="Calibri"/>
        <family val="2"/>
        <scheme val="minor"/>
      </rPr>
      <t>z</t>
    </r>
    <r>
      <rPr>
        <sz val="11"/>
        <color theme="1"/>
        <rFont val="Calibri"/>
        <family val="2"/>
        <scheme val="minor"/>
      </rPr>
      <t xml:space="preserve"> diag(</t>
    </r>
    <r>
      <rPr>
        <b/>
        <sz val="11"/>
        <color theme="1"/>
        <rFont val="Calibri"/>
        <family val="2"/>
        <scheme val="minor"/>
      </rPr>
      <t>X</t>
    </r>
    <r>
      <rPr>
        <sz val="11"/>
        <color theme="1"/>
        <rFont val="Calibri"/>
        <family val="2"/>
        <scheme val="minor"/>
      </rPr>
      <t>)</t>
    </r>
  </si>
  <si>
    <r>
      <t xml:space="preserve">R (1,2) </t>
    </r>
    <r>
      <rPr>
        <sz val="11"/>
        <color theme="1"/>
        <rFont val="Calibri"/>
        <family val="2"/>
        <scheme val="minor"/>
      </rPr>
      <t>= r diag(</t>
    </r>
    <r>
      <rPr>
        <b/>
        <sz val="11"/>
        <color theme="1"/>
        <rFont val="Calibri"/>
        <family val="2"/>
        <scheme val="minor"/>
      </rPr>
      <t>X</t>
    </r>
    <r>
      <rPr>
        <sz val="11"/>
        <color theme="1"/>
        <rFont val="Calibri"/>
        <family val="2"/>
        <scheme val="minor"/>
      </rPr>
      <t>)</t>
    </r>
  </si>
  <si>
    <t>z (2,2)</t>
  </si>
  <si>
    <t>environmental extensions</t>
  </si>
  <si>
    <t>value added &amp; environmental extensions</t>
  </si>
  <si>
    <r>
      <t>r (2,6)</t>
    </r>
    <r>
      <rPr>
        <sz val="11"/>
        <color theme="1"/>
        <rFont val="Calibri"/>
        <family val="2"/>
        <scheme val="minor"/>
      </rPr>
      <t xml:space="preserve"> = </t>
    </r>
    <r>
      <rPr>
        <b/>
        <sz val="11"/>
        <color theme="1"/>
        <rFont val="Calibri"/>
        <family val="2"/>
        <scheme val="minor"/>
      </rPr>
      <t>R</t>
    </r>
    <r>
      <rPr>
        <sz val="11"/>
        <color theme="1"/>
        <rFont val="Calibri"/>
        <family val="2"/>
        <scheme val="minor"/>
      </rPr>
      <t xml:space="preserve"> inv(diag(</t>
    </r>
    <r>
      <rPr>
        <b/>
        <sz val="11"/>
        <color theme="1"/>
        <rFont val="Calibri"/>
        <family val="2"/>
        <scheme val="minor"/>
      </rPr>
      <t>X))</t>
    </r>
  </si>
  <si>
    <t>R_Y (2,2)</t>
  </si>
  <si>
    <r>
      <rPr>
        <b/>
        <sz val="11"/>
        <color theme="1"/>
        <rFont val="Calibri"/>
        <family val="2"/>
        <scheme val="minor"/>
      </rPr>
      <t>Rtot</t>
    </r>
    <r>
      <rPr>
        <sz val="11"/>
        <color theme="1"/>
        <rFont val="Calibri"/>
        <family val="2"/>
        <scheme val="minor"/>
      </rPr>
      <t xml:space="preserve"> </t>
    </r>
    <r>
      <rPr>
        <b/>
        <sz val="11"/>
        <color theme="1"/>
        <rFont val="Calibri"/>
        <family val="2"/>
        <scheme val="minor"/>
      </rPr>
      <t>(2,1)</t>
    </r>
    <r>
      <rPr>
        <sz val="11"/>
        <color theme="1"/>
        <rFont val="Calibri"/>
        <family val="2"/>
        <scheme val="minor"/>
      </rPr>
      <t xml:space="preserve"> = </t>
    </r>
    <r>
      <rPr>
        <b/>
        <sz val="11"/>
        <color theme="1"/>
        <rFont val="Calibri"/>
        <family val="2"/>
        <scheme val="minor"/>
      </rPr>
      <t>R + R_Y</t>
    </r>
  </si>
  <si>
    <r>
      <t xml:space="preserve">z (6,6) </t>
    </r>
    <r>
      <rPr>
        <sz val="11"/>
        <color theme="1"/>
        <rFont val="Calibri"/>
        <family val="2"/>
        <scheme val="minor"/>
      </rPr>
      <t xml:space="preserve">= </t>
    </r>
    <r>
      <rPr>
        <b/>
        <sz val="11"/>
        <color theme="1"/>
        <rFont val="Calibri"/>
        <family val="2"/>
        <scheme val="minor"/>
      </rPr>
      <t>Z</t>
    </r>
    <r>
      <rPr>
        <sz val="11"/>
        <color theme="1"/>
        <rFont val="Calibri"/>
        <family val="2"/>
        <scheme val="minor"/>
      </rPr>
      <t xml:space="preserve"> inv(diag(</t>
    </r>
    <r>
      <rPr>
        <b/>
        <sz val="11"/>
        <color theme="1"/>
        <rFont val="Calibri"/>
        <family val="2"/>
        <scheme val="minor"/>
      </rPr>
      <t>X))</t>
    </r>
  </si>
  <si>
    <t>all 1, balanced!</t>
  </si>
  <si>
    <t>Y_tot</t>
  </si>
  <si>
    <r>
      <rPr>
        <b/>
        <sz val="11"/>
        <color theme="1"/>
        <rFont val="Calibri"/>
        <family val="2"/>
        <scheme val="minor"/>
      </rPr>
      <t>R_e_reg</t>
    </r>
    <r>
      <rPr>
        <sz val="11"/>
        <color theme="1"/>
        <rFont val="Calibri"/>
        <family val="2"/>
        <scheme val="minor"/>
      </rPr>
      <t xml:space="preserve"> </t>
    </r>
    <r>
      <rPr>
        <b/>
        <sz val="11"/>
        <color theme="1"/>
        <rFont val="Calibri"/>
        <family val="2"/>
        <scheme val="minor"/>
      </rPr>
      <t xml:space="preserve">(6,2) </t>
    </r>
    <r>
      <rPr>
        <sz val="11"/>
        <color theme="1"/>
        <rFont val="Calibri"/>
        <family val="2"/>
        <scheme val="minor"/>
      </rPr>
      <t>= diag(</t>
    </r>
    <r>
      <rPr>
        <b/>
        <sz val="11"/>
        <color theme="1"/>
        <rFont val="Calibri"/>
        <family val="2"/>
        <scheme val="minor"/>
      </rPr>
      <t>r_e</t>
    </r>
    <r>
      <rPr>
        <sz val="11"/>
        <color theme="1"/>
        <rFont val="Calibri"/>
        <family val="2"/>
        <scheme val="minor"/>
      </rPr>
      <t>)*</t>
    </r>
    <r>
      <rPr>
        <b/>
        <sz val="11"/>
        <color theme="1"/>
        <rFont val="Calibri"/>
        <family val="2"/>
        <scheme val="minor"/>
      </rPr>
      <t>Y</t>
    </r>
  </si>
  <si>
    <t>Y_tot (6,1) = sum(Y)</t>
  </si>
  <si>
    <t>Our World in Data</t>
  </si>
  <si>
    <t>% err</t>
  </si>
  <si>
    <t>Check our data: CO2 (Gton)</t>
  </si>
  <si>
    <t>year: 2019</t>
  </si>
  <si>
    <t>R_tot_reg</t>
  </si>
  <si>
    <r>
      <rPr>
        <b/>
        <sz val="11"/>
        <color theme="1"/>
        <rFont val="Calibri"/>
        <family val="2"/>
        <scheme val="minor"/>
      </rPr>
      <t>Rtot</t>
    </r>
    <r>
      <rPr>
        <sz val="11"/>
        <color theme="1"/>
        <rFont val="Calibri"/>
        <family val="2"/>
        <scheme val="minor"/>
      </rPr>
      <t xml:space="preserve"> </t>
    </r>
    <r>
      <rPr>
        <b/>
        <sz val="11"/>
        <color theme="1"/>
        <rFont val="Calibri"/>
        <family val="2"/>
        <scheme val="minor"/>
      </rPr>
      <t xml:space="preserve">(2,1) </t>
    </r>
    <r>
      <rPr>
        <sz val="11"/>
        <color theme="1"/>
        <rFont val="Calibri"/>
        <family val="2"/>
        <scheme val="minor"/>
      </rPr>
      <t xml:space="preserve">= </t>
    </r>
    <r>
      <rPr>
        <b/>
        <sz val="11"/>
        <color theme="1"/>
        <rFont val="Calibri"/>
        <family val="2"/>
        <scheme val="minor"/>
      </rPr>
      <t>R + R_Y</t>
    </r>
  </si>
  <si>
    <r>
      <t xml:space="preserve">R(2,6) </t>
    </r>
    <r>
      <rPr>
        <sz val="11"/>
        <color theme="1"/>
        <rFont val="Calibri"/>
        <family val="2"/>
        <scheme val="minor"/>
      </rPr>
      <t xml:space="preserve">= </t>
    </r>
    <r>
      <rPr>
        <b/>
        <sz val="11"/>
        <color theme="1"/>
        <rFont val="Calibri"/>
        <family val="2"/>
        <scheme val="minor"/>
      </rPr>
      <t>r</t>
    </r>
    <r>
      <rPr>
        <sz val="11"/>
        <color theme="1"/>
        <rFont val="Calibri"/>
        <family val="2"/>
        <scheme val="minor"/>
      </rPr>
      <t xml:space="preserve"> diag(</t>
    </r>
    <r>
      <rPr>
        <b/>
        <sz val="11"/>
        <color theme="1"/>
        <rFont val="Calibri"/>
        <family val="2"/>
        <scheme val="minor"/>
      </rPr>
      <t>X)</t>
    </r>
  </si>
  <si>
    <r>
      <t>Z</t>
    </r>
    <r>
      <rPr>
        <sz val="11"/>
        <color theme="1"/>
        <rFont val="Calibri"/>
        <family val="2"/>
        <scheme val="minor"/>
      </rPr>
      <t xml:space="preserve"> </t>
    </r>
    <r>
      <rPr>
        <b/>
        <sz val="11"/>
        <color theme="1"/>
        <rFont val="Calibri"/>
        <family val="2"/>
        <scheme val="minor"/>
      </rPr>
      <t xml:space="preserve">(6,6) </t>
    </r>
    <r>
      <rPr>
        <sz val="11"/>
        <color theme="1"/>
        <rFont val="Calibri"/>
        <family val="2"/>
        <scheme val="minor"/>
      </rPr>
      <t xml:space="preserve">= </t>
    </r>
    <r>
      <rPr>
        <b/>
        <sz val="11"/>
        <color theme="1"/>
        <rFont val="Calibri"/>
        <family val="2"/>
        <scheme val="minor"/>
      </rPr>
      <t>z</t>
    </r>
    <r>
      <rPr>
        <sz val="11"/>
        <color theme="1"/>
        <rFont val="Calibri"/>
        <family val="2"/>
        <scheme val="minor"/>
      </rPr>
      <t xml:space="preserve"> diag(</t>
    </r>
    <r>
      <rPr>
        <b/>
        <sz val="11"/>
        <color theme="1"/>
        <rFont val="Calibri"/>
        <family val="2"/>
        <scheme val="minor"/>
      </rPr>
      <t>X)</t>
    </r>
  </si>
  <si>
    <r>
      <rPr>
        <b/>
        <sz val="11"/>
        <color theme="1"/>
        <rFont val="Calibri"/>
        <family val="2"/>
        <scheme val="minor"/>
      </rPr>
      <t xml:space="preserve">X (6,1) </t>
    </r>
    <r>
      <rPr>
        <sz val="11"/>
        <color theme="1"/>
        <rFont val="Calibri"/>
        <family val="2"/>
        <scheme val="minor"/>
      </rPr>
      <t>= inv(</t>
    </r>
    <r>
      <rPr>
        <b/>
        <sz val="11"/>
        <color theme="1"/>
        <rFont val="Calibri"/>
        <family val="2"/>
        <scheme val="minor"/>
      </rPr>
      <t>I</t>
    </r>
    <r>
      <rPr>
        <sz val="11"/>
        <color theme="1"/>
        <rFont val="Calibri"/>
        <family val="2"/>
        <scheme val="minor"/>
      </rPr>
      <t>-</t>
    </r>
    <r>
      <rPr>
        <b/>
        <sz val="11"/>
        <color theme="1"/>
        <rFont val="Calibri"/>
        <family val="2"/>
        <scheme val="minor"/>
      </rPr>
      <t>z</t>
    </r>
    <r>
      <rPr>
        <sz val="11"/>
        <color theme="1"/>
        <rFont val="Calibri"/>
        <family val="2"/>
        <scheme val="minor"/>
      </rPr>
      <t>)*</t>
    </r>
    <r>
      <rPr>
        <b/>
        <sz val="11"/>
        <color theme="1"/>
        <rFont val="Calibri"/>
        <family val="2"/>
        <scheme val="minor"/>
      </rPr>
      <t>Y_tot</t>
    </r>
  </si>
  <si>
    <t>2. Based on the carbon footprints previously computed, quantify for each region the overall CO2 emissions embedded in the final demand (domestic + imported demand).</t>
  </si>
  <si>
    <t>exogenous variables</t>
  </si>
  <si>
    <t>decision endogenous variables</t>
  </si>
  <si>
    <t>derived endogenous variables</t>
  </si>
  <si>
    <t>Knowing that we need 0.15 ton of steel and 1 k€ of goods and services to produce 1 car, how much is needed from the whole economy to produce 1000 of them?</t>
  </si>
  <si>
    <t>k€</t>
  </si>
  <si>
    <t>ton</t>
  </si>
  <si>
    <t>ton/ton</t>
  </si>
  <si>
    <t>k€/ton</t>
  </si>
  <si>
    <t>k€/k€</t>
  </si>
  <si>
    <t>ton/k€</t>
  </si>
  <si>
    <t>pp/k€</t>
  </si>
  <si>
    <t>pp/ton</t>
  </si>
  <si>
    <t>car production</t>
  </si>
  <si>
    <t>2. Compute the total production and the total intermediate consumption of each sector of the economy.</t>
  </si>
  <si>
    <t>cars production</t>
  </si>
  <si>
    <t>n. cars</t>
  </si>
  <si>
    <t>€/ton</t>
  </si>
  <si>
    <t>€/k€</t>
  </si>
  <si>
    <t>k€/pp</t>
  </si>
  <si>
    <t>k€/...</t>
  </si>
  <si>
    <t>n.cars</t>
  </si>
  <si>
    <t>ton/car</t>
  </si>
  <si>
    <t>k€/car</t>
  </si>
  <si>
    <t>car/car</t>
  </si>
  <si>
    <t>car/k€</t>
  </si>
  <si>
    <t>car/ton</t>
  </si>
  <si>
    <t>€/car</t>
  </si>
  <si>
    <t>pp/car</t>
  </si>
  <si>
    <t>Actually, the economy also need workers within the cars production sector. Try to include such sector within the economy and recompute the needed resources to produce 100 cars.</t>
  </si>
  <si>
    <t>car</t>
  </si>
  <si>
    <t>3. Workers wages in the steel sector are rising up! Plant owners have no-choice but to increase wages to 30’000€/year. 
What is the effect on the price index of cars?</t>
  </si>
  <si>
    <t>delta p_cars</t>
  </si>
  <si>
    <t>2. Consider that workers in the cars, steel and good and service sector are paid respectively 30’000 €/year, 20’000 €/year and 40’000 €/year. Compute the price index vector, after having properly accounted for wages, the only value added category in this example.</t>
  </si>
  <si>
    <t>100 cars</t>
  </si>
  <si>
    <r>
      <t xml:space="preserve">R (2,6) </t>
    </r>
    <r>
      <rPr>
        <b/>
        <sz val="11"/>
        <color rgb="FFFF0000"/>
        <rFont val="Calibri (Body)"/>
      </rPr>
      <t>NOTE: sometimes this is a unique matrix, sometimes not.</t>
    </r>
  </si>
  <si>
    <t>e</t>
  </si>
  <si>
    <t>M€</t>
  </si>
  <si>
    <t>M€/M€</t>
  </si>
  <si>
    <t>ton/M€</t>
  </si>
  <si>
    <t>EXTRA: where the impact was originated?</t>
  </si>
  <si>
    <r>
      <t>sum(</t>
    </r>
    <r>
      <rPr>
        <b/>
        <sz val="11"/>
        <color theme="1"/>
        <rFont val="Calibri"/>
        <family val="2"/>
        <scheme val="minor"/>
      </rPr>
      <t>r_e_ex_CO2</t>
    </r>
    <r>
      <rPr>
        <sz val="11"/>
        <color theme="1"/>
        <rFont val="Calibri"/>
        <family val="2"/>
        <scheme val="minor"/>
      </rPr>
      <t xml:space="preserve">) = </t>
    </r>
    <r>
      <rPr>
        <b/>
        <sz val="11"/>
        <color theme="1"/>
        <rFont val="Calibri"/>
        <family val="2"/>
        <scheme val="minor"/>
      </rPr>
      <t>r_e</t>
    </r>
  </si>
  <si>
    <t>f</t>
  </si>
  <si>
    <r>
      <t xml:space="preserve">p (1,6) </t>
    </r>
    <r>
      <rPr>
        <sz val="11"/>
        <color theme="1"/>
        <rFont val="Calibri"/>
        <family val="2"/>
        <scheme val="minor"/>
      </rPr>
      <t xml:space="preserve">= v </t>
    </r>
    <r>
      <rPr>
        <b/>
        <sz val="11"/>
        <color theme="1"/>
        <rFont val="Calibri"/>
        <family val="2"/>
        <scheme val="minor"/>
      </rPr>
      <t>w</t>
    </r>
  </si>
  <si>
    <r>
      <t xml:space="preserve">f (1,6) </t>
    </r>
    <r>
      <rPr>
        <sz val="11"/>
        <color theme="1"/>
        <rFont val="Calibri"/>
        <family val="2"/>
        <scheme val="minor"/>
      </rPr>
      <t xml:space="preserve">= e </t>
    </r>
    <r>
      <rPr>
        <b/>
        <sz val="11"/>
        <color theme="1"/>
        <rFont val="Calibri"/>
        <family val="2"/>
        <scheme val="minor"/>
      </rPr>
      <t>w</t>
    </r>
  </si>
  <si>
    <r>
      <t xml:space="preserve">F (1,6) </t>
    </r>
    <r>
      <rPr>
        <sz val="11"/>
        <color theme="1"/>
        <rFont val="Calibri"/>
        <family val="2"/>
        <scheme val="minor"/>
      </rPr>
      <t>= f diag(</t>
    </r>
    <r>
      <rPr>
        <b/>
        <sz val="11"/>
        <color theme="1"/>
        <rFont val="Calibri"/>
        <family val="2"/>
        <scheme val="minor"/>
      </rPr>
      <t>Y</t>
    </r>
    <r>
      <rPr>
        <sz val="11"/>
        <color theme="1"/>
        <rFont val="Calibri"/>
        <family val="2"/>
        <scheme val="minor"/>
      </rPr>
      <t>)</t>
    </r>
  </si>
  <si>
    <r>
      <t>F (1,2)</t>
    </r>
    <r>
      <rPr>
        <sz val="11"/>
        <color theme="1"/>
        <rFont val="Calibri"/>
        <family val="2"/>
        <scheme val="minor"/>
      </rPr>
      <t xml:space="preserve"> = </t>
    </r>
    <r>
      <rPr>
        <b/>
        <sz val="11"/>
        <color theme="1"/>
        <rFont val="Calibri"/>
        <family val="2"/>
        <scheme val="minor"/>
      </rPr>
      <t>i</t>
    </r>
    <r>
      <rPr>
        <sz val="11"/>
        <color theme="1"/>
        <rFont val="Calibri"/>
        <family val="2"/>
        <scheme val="minor"/>
      </rPr>
      <t>(1,rt) F</t>
    </r>
  </si>
  <si>
    <r>
      <t>E_reg (1,2)</t>
    </r>
    <r>
      <rPr>
        <sz val="11"/>
        <color theme="1"/>
        <rFont val="Calibri"/>
        <family val="2"/>
        <scheme val="minor"/>
      </rPr>
      <t xml:space="preserve"> = </t>
    </r>
    <r>
      <rPr>
        <b/>
        <sz val="11"/>
        <color theme="1"/>
        <rFont val="Calibri"/>
        <family val="2"/>
        <scheme val="minor"/>
      </rPr>
      <t>i</t>
    </r>
    <r>
      <rPr>
        <sz val="11"/>
        <color theme="1"/>
        <rFont val="Calibri"/>
        <family val="2"/>
        <scheme val="minor"/>
      </rPr>
      <t>(1,rt) E</t>
    </r>
  </si>
  <si>
    <t>F</t>
  </si>
  <si>
    <t>E</t>
  </si>
  <si>
    <r>
      <rPr>
        <b/>
        <sz val="11"/>
        <color theme="1"/>
        <rFont val="Calibri"/>
        <family val="2"/>
        <scheme val="minor"/>
      </rPr>
      <t xml:space="preserve">f (1,2) </t>
    </r>
    <r>
      <rPr>
        <sz val="11"/>
        <color theme="1"/>
        <rFont val="Calibri"/>
        <family val="2"/>
        <scheme val="minor"/>
      </rPr>
      <t xml:space="preserve">= </t>
    </r>
    <r>
      <rPr>
        <b/>
        <sz val="11"/>
        <color theme="1"/>
        <rFont val="Calibri"/>
        <family val="2"/>
        <scheme val="minor"/>
      </rPr>
      <t>ew</t>
    </r>
  </si>
  <si>
    <r>
      <t xml:space="preserve">F </t>
    </r>
    <r>
      <rPr>
        <b/>
        <sz val="11"/>
        <color theme="1"/>
        <rFont val="Calibri"/>
        <family val="2"/>
        <scheme val="minor"/>
      </rPr>
      <t xml:space="preserve">(1,2) </t>
    </r>
    <r>
      <rPr>
        <sz val="11"/>
        <color theme="1"/>
        <rFont val="Calibri"/>
        <family val="2"/>
        <scheme val="minor"/>
      </rPr>
      <t>= f diag(</t>
    </r>
    <r>
      <rPr>
        <b/>
        <sz val="11"/>
        <color theme="1"/>
        <rFont val="Calibri"/>
        <family val="2"/>
        <scheme val="minor"/>
      </rPr>
      <t>Y</t>
    </r>
    <r>
      <rPr>
        <sz val="11"/>
        <color theme="1"/>
        <rFont val="Calibri"/>
        <family val="2"/>
        <scheme val="minor"/>
      </rPr>
      <t>)</t>
    </r>
  </si>
  <si>
    <t>F_tot</t>
  </si>
  <si>
    <t>E_tot</t>
  </si>
  <si>
    <t>f_ex_CO2 = diag(r_CO2) w</t>
  </si>
  <si>
    <t>F_reg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</si>
</sst>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0"/>
    <numFmt numFmtId="167" formatCode="0.0000"/>
    <numFmt numFmtId="168" formatCode="0.0%"/>
  </numFmts>
  <fonts count="22">
    <font>
      <sz val="11"/>
      <color theme="1"/>
      <name val="Calibri"/>
      <family val="2"/>
      <scheme val="minor"/>
    </font>
    <font>
      <sz val="11"/>
      <color rgb="FFFF0000"/>
      <name val="Calibri"/>
      <family val="2"/>
      <scheme val="minor"/>
    </font>
    <font>
      <i/>
      <sz val="11"/>
      <color theme="1"/>
      <name val="Calibri"/>
      <family val="2"/>
      <scheme val="minor"/>
    </font>
    <font>
      <i/>
      <sz val="11"/>
      <color rgb="FFFF0000"/>
      <name val="Calibri"/>
      <family val="2"/>
      <scheme val="minor"/>
    </font>
    <font>
      <sz val="11"/>
      <color rgb="FFFFC000"/>
      <name val="Calibri"/>
      <family val="2"/>
      <scheme val="minor"/>
    </font>
    <font>
      <sz val="11"/>
      <color rgb="FF7030A0"/>
      <name val="Calibri"/>
      <family val="2"/>
      <scheme val="minor"/>
    </font>
    <font>
      <i/>
      <sz val="8"/>
      <color rgb="FF7030A0"/>
      <name val="Calibri"/>
      <family val="2"/>
      <scheme val="minor"/>
    </font>
    <font>
      <b/>
      <sz val="10"/>
      <color rgb="FFFF0000"/>
      <name val="Calibri"/>
      <family val="2"/>
      <scheme val="minor"/>
    </font>
    <font>
      <sz val="10"/>
      <color theme="1"/>
      <name val="Calibri"/>
      <family val="2"/>
      <scheme val="minor"/>
    </font>
    <font>
      <sz val="10"/>
      <color theme="5" tint="-0.249977111117893"/>
      <name val="Calibri"/>
      <family val="2"/>
      <scheme val="minor"/>
    </font>
    <font>
      <sz val="10"/>
      <color theme="8" tint="-0.249977111117893"/>
      <name val="Calibri"/>
      <family val="2"/>
      <scheme val="minor"/>
    </font>
    <font>
      <b/>
      <sz val="10"/>
      <color theme="1"/>
      <name val="Calibri"/>
      <family val="2"/>
      <scheme val="minor"/>
    </font>
    <font>
      <b/>
      <sz val="10"/>
      <color theme="8" tint="-0.249977111117893"/>
      <name val="Calibri"/>
      <family val="2"/>
      <scheme val="minor"/>
    </font>
    <font>
      <b/>
      <sz val="10"/>
      <color theme="5" tint="-0.249977111117893"/>
      <name val="Calibri"/>
      <family val="2"/>
      <scheme val="minor"/>
    </font>
    <font>
      <sz val="11"/>
      <color theme="1"/>
      <name val="Calibri"/>
      <family val="2"/>
      <scheme val="minor"/>
    </font>
    <font>
      <b/>
      <sz val="11"/>
      <color theme="1"/>
      <name val="Calibri"/>
      <family val="2"/>
      <scheme val="minor"/>
    </font>
    <font>
      <i/>
      <sz val="8"/>
      <color theme="7" tint="-0.249977111117893"/>
      <name val="Calibri"/>
      <family val="2"/>
      <scheme val="minor"/>
    </font>
    <font>
      <i/>
      <u/>
      <sz val="11"/>
      <color theme="1"/>
      <name val="Calibri"/>
      <family val="2"/>
      <scheme val="minor"/>
    </font>
    <font>
      <i/>
      <u/>
      <sz val="11"/>
      <color theme="1"/>
      <name val="Calibri (Body)"/>
    </font>
    <font>
      <u/>
      <sz val="11"/>
      <color theme="10"/>
      <name val="Calibri"/>
      <family val="2"/>
      <scheme val="minor"/>
    </font>
    <font>
      <i/>
      <u/>
      <sz val="11"/>
      <color theme="10"/>
      <name val="Calibri"/>
      <family val="2"/>
      <scheme val="minor"/>
    </font>
    <font>
      <b/>
      <sz val="11"/>
      <color rgb="FFFF0000"/>
      <name val="Calibri (Body)"/>
    </font>
  </fonts>
  <fills count="7">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CCCCFF"/>
        <bgColor indexed="64"/>
      </patternFill>
    </fill>
    <fill>
      <patternFill patternType="solid">
        <fgColor theme="9" tint="0.59999389629810485"/>
        <bgColor indexed="64"/>
      </patternFill>
    </fill>
  </fills>
  <borders count="4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mediumDashed">
        <color indexed="64"/>
      </bottom>
      <diagonal/>
    </border>
    <border>
      <left style="thick">
        <color theme="8"/>
      </left>
      <right/>
      <top style="thick">
        <color theme="8"/>
      </top>
      <bottom/>
      <diagonal/>
    </border>
    <border>
      <left/>
      <right style="thick">
        <color theme="8"/>
      </right>
      <top style="thick">
        <color theme="8"/>
      </top>
      <bottom/>
      <diagonal/>
    </border>
    <border>
      <left style="thick">
        <color theme="8"/>
      </left>
      <right/>
      <top/>
      <bottom style="thick">
        <color theme="8"/>
      </bottom>
      <diagonal/>
    </border>
    <border>
      <left/>
      <right style="thick">
        <color theme="8"/>
      </right>
      <top/>
      <bottom style="thick">
        <color theme="8"/>
      </bottom>
      <diagonal/>
    </border>
    <border>
      <left style="thick">
        <color theme="9"/>
      </left>
      <right/>
      <top style="thick">
        <color theme="9"/>
      </top>
      <bottom style="thick">
        <color theme="9"/>
      </bottom>
      <diagonal/>
    </border>
    <border>
      <left/>
      <right style="thick">
        <color theme="9"/>
      </right>
      <top style="thick">
        <color theme="9"/>
      </top>
      <bottom style="thick">
        <color theme="9"/>
      </bottom>
      <diagonal/>
    </border>
    <border>
      <left style="thick">
        <color rgb="FF7030A0"/>
      </left>
      <right style="thick">
        <color rgb="FF7030A0"/>
      </right>
      <top style="thick">
        <color rgb="FF7030A0"/>
      </top>
      <bottom/>
      <diagonal/>
    </border>
    <border>
      <left style="thick">
        <color rgb="FF7030A0"/>
      </left>
      <right style="thick">
        <color rgb="FF7030A0"/>
      </right>
      <top/>
      <bottom style="thick">
        <color rgb="FF7030A0"/>
      </bottom>
      <diagonal/>
    </border>
    <border>
      <left/>
      <right/>
      <top style="thin">
        <color theme="1"/>
      </top>
      <bottom/>
      <diagonal/>
    </border>
    <border>
      <left/>
      <right/>
      <top style="thick">
        <color theme="8"/>
      </top>
      <bottom/>
      <diagonal/>
    </border>
    <border>
      <left style="thick">
        <color theme="8"/>
      </left>
      <right/>
      <top/>
      <bottom/>
      <diagonal/>
    </border>
    <border>
      <left/>
      <right style="thick">
        <color theme="8"/>
      </right>
      <top/>
      <bottom/>
      <diagonal/>
    </border>
    <border>
      <left/>
      <right/>
      <top/>
      <bottom style="thick">
        <color theme="8"/>
      </bottom>
      <diagonal/>
    </border>
    <border>
      <left/>
      <right/>
      <top style="thick">
        <color theme="9"/>
      </top>
      <bottom style="thick">
        <color theme="9"/>
      </bottom>
      <diagonal/>
    </border>
    <border>
      <left style="thick">
        <color rgb="FF7030A0"/>
      </left>
      <right style="thick">
        <color rgb="FF7030A0"/>
      </right>
      <top/>
      <bottom/>
      <diagonal/>
    </border>
    <border>
      <left style="thick">
        <color theme="7"/>
      </left>
      <right/>
      <top style="thick">
        <color theme="7"/>
      </top>
      <bottom style="thick">
        <color theme="7"/>
      </bottom>
      <diagonal/>
    </border>
    <border>
      <left/>
      <right/>
      <top style="thick">
        <color theme="7"/>
      </top>
      <bottom style="thick">
        <color theme="7"/>
      </bottom>
      <diagonal/>
    </border>
    <border>
      <left/>
      <right style="thick">
        <color theme="7"/>
      </right>
      <top style="thick">
        <color theme="7"/>
      </top>
      <bottom style="thick">
        <color theme="7"/>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s>
  <cellStyleXfs count="3">
    <xf numFmtId="0" fontId="0" fillId="0" borderId="0"/>
    <xf numFmtId="9" fontId="14" fillId="0" borderId="0" applyFont="0" applyFill="0" applyBorder="0" applyAlignment="0" applyProtection="0"/>
    <xf numFmtId="0" fontId="19" fillId="0" borderId="0" applyNumberFormat="0" applyFill="0" applyBorder="0" applyAlignment="0" applyProtection="0"/>
  </cellStyleXfs>
  <cellXfs count="161">
    <xf numFmtId="0" fontId="0" fillId="0" borderId="0" xfId="0"/>
    <xf numFmtId="0" fontId="2" fillId="0" borderId="0" xfId="0" applyFont="1"/>
    <xf numFmtId="0" fontId="1" fillId="0" borderId="0" xfId="0" applyFont="1"/>
    <xf numFmtId="1" fontId="0" fillId="0" borderId="0" xfId="0" applyNumberFormat="1"/>
    <xf numFmtId="0" fontId="7" fillId="0" borderId="0" xfId="0" applyFont="1"/>
    <xf numFmtId="0" fontId="8" fillId="0" borderId="0" xfId="0" applyFont="1"/>
    <xf numFmtId="0" fontId="8" fillId="0" borderId="4" xfId="0" applyFont="1" applyBorder="1"/>
    <xf numFmtId="0" fontId="8" fillId="0" borderId="5" xfId="0" applyFont="1" applyBorder="1"/>
    <xf numFmtId="0" fontId="8" fillId="0" borderId="6" xfId="0" applyFont="1" applyBorder="1"/>
    <xf numFmtId="0" fontId="8" fillId="0" borderId="7" xfId="0" applyFont="1" applyBorder="1"/>
    <xf numFmtId="0" fontId="8" fillId="0" borderId="8" xfId="0" applyFont="1" applyBorder="1"/>
    <xf numFmtId="0" fontId="8" fillId="0" borderId="9" xfId="0" applyFont="1" applyBorder="1"/>
    <xf numFmtId="0" fontId="8" fillId="0" borderId="10" xfId="0" applyFont="1" applyBorder="1"/>
    <xf numFmtId="0" fontId="8" fillId="0" borderId="11" xfId="0" applyFont="1" applyBorder="1"/>
    <xf numFmtId="0" fontId="9" fillId="0" borderId="0" xfId="0" quotePrefix="1" applyFont="1"/>
    <xf numFmtId="0" fontId="10" fillId="0" borderId="0" xfId="0" quotePrefix="1" applyFont="1"/>
    <xf numFmtId="0" fontId="8" fillId="0" borderId="12" xfId="0" applyFont="1" applyBorder="1"/>
    <xf numFmtId="0" fontId="8" fillId="0" borderId="13" xfId="0" applyFont="1" applyBorder="1"/>
    <xf numFmtId="0" fontId="8" fillId="0" borderId="14" xfId="0" applyFont="1" applyBorder="1"/>
    <xf numFmtId="0" fontId="11" fillId="2" borderId="0" xfId="0" applyFont="1" applyFill="1"/>
    <xf numFmtId="2" fontId="8" fillId="0" borderId="4" xfId="0" applyNumberFormat="1" applyFont="1" applyBorder="1"/>
    <xf numFmtId="2" fontId="8" fillId="0" borderId="5" xfId="0" applyNumberFormat="1" applyFont="1" applyBorder="1"/>
    <xf numFmtId="2" fontId="8" fillId="0" borderId="6" xfId="0" applyNumberFormat="1" applyFont="1" applyBorder="1"/>
    <xf numFmtId="2" fontId="8" fillId="0" borderId="7" xfId="0" applyNumberFormat="1" applyFont="1" applyBorder="1"/>
    <xf numFmtId="2" fontId="8" fillId="0" borderId="0" xfId="0" applyNumberFormat="1" applyFont="1"/>
    <xf numFmtId="2" fontId="8" fillId="0" borderId="8" xfId="0" applyNumberFormat="1" applyFont="1" applyBorder="1"/>
    <xf numFmtId="2" fontId="8" fillId="0" borderId="9" xfId="0" applyNumberFormat="1" applyFont="1" applyBorder="1"/>
    <xf numFmtId="2" fontId="8" fillId="0" borderId="10" xfId="0" applyNumberFormat="1" applyFont="1" applyBorder="1"/>
    <xf numFmtId="2" fontId="8" fillId="0" borderId="11" xfId="0" applyNumberFormat="1" applyFont="1" applyBorder="1"/>
    <xf numFmtId="164" fontId="0" fillId="0" borderId="0" xfId="0" applyNumberFormat="1"/>
    <xf numFmtId="0" fontId="15" fillId="0" borderId="0" xfId="0" applyFont="1"/>
    <xf numFmtId="0" fontId="4" fillId="0" borderId="0" xfId="0" applyFont="1"/>
    <xf numFmtId="0" fontId="5" fillId="0" borderId="0" xfId="0" applyFont="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 xfId="0" applyBorder="1"/>
    <xf numFmtId="0" fontId="0" fillId="0" borderId="3" xfId="0" applyBorder="1"/>
    <xf numFmtId="0" fontId="0" fillId="0" borderId="15" xfId="0" applyBorder="1"/>
    <xf numFmtId="0" fontId="0" fillId="0" borderId="17" xfId="0" applyBorder="1"/>
    <xf numFmtId="0" fontId="3" fillId="4" borderId="15" xfId="0" applyFont="1" applyFill="1" applyBorder="1" applyAlignment="1">
      <alignment horizontal="centerContinuous"/>
    </xf>
    <xf numFmtId="0" fontId="3" fillId="4" borderId="1" xfId="0" applyFont="1" applyFill="1" applyBorder="1" applyAlignment="1">
      <alignment horizontal="centerContinuous"/>
    </xf>
    <xf numFmtId="0" fontId="11" fillId="0" borderId="0" xfId="0" applyFont="1"/>
    <xf numFmtId="0" fontId="3" fillId="4" borderId="16" xfId="0" applyFont="1" applyFill="1" applyBorder="1" applyAlignment="1">
      <alignment horizontal="left"/>
    </xf>
    <xf numFmtId="0" fontId="3" fillId="4" borderId="17" xfId="0" applyFont="1" applyFill="1" applyBorder="1" applyAlignment="1">
      <alignment horizontal="center"/>
    </xf>
    <xf numFmtId="0" fontId="3" fillId="4" borderId="0" xfId="0" applyFont="1" applyFill="1" applyAlignment="1">
      <alignment horizontal="center"/>
    </xf>
    <xf numFmtId="0" fontId="0" fillId="0" borderId="23" xfId="0" applyBorder="1"/>
    <xf numFmtId="0" fontId="0" fillId="0" borderId="0" xfId="0" applyAlignment="1">
      <alignment horizontal="center"/>
    </xf>
    <xf numFmtId="0" fontId="0" fillId="0" borderId="0" xfId="0" applyAlignment="1">
      <alignment horizontal="left"/>
    </xf>
    <xf numFmtId="0" fontId="0" fillId="2" borderId="0" xfId="0" applyFill="1"/>
    <xf numFmtId="0" fontId="0" fillId="2" borderId="24" xfId="0" applyFill="1" applyBorder="1" applyAlignment="1">
      <alignment horizontal="center"/>
    </xf>
    <xf numFmtId="0" fontId="0" fillId="2" borderId="25" xfId="0" applyFill="1" applyBorder="1" applyAlignment="1">
      <alignment horizontal="center"/>
    </xf>
    <xf numFmtId="0" fontId="0" fillId="2" borderId="26" xfId="0" applyFill="1" applyBorder="1" applyAlignment="1">
      <alignment horizontal="center"/>
    </xf>
    <xf numFmtId="0" fontId="0" fillId="2" borderId="27" xfId="0" applyFill="1" applyBorder="1" applyAlignment="1">
      <alignment horizontal="center"/>
    </xf>
    <xf numFmtId="0" fontId="0" fillId="2" borderId="28" xfId="0" applyFill="1" applyBorder="1" applyAlignment="1">
      <alignment horizontal="center"/>
    </xf>
    <xf numFmtId="0" fontId="0" fillId="2" borderId="29" xfId="0" applyFill="1" applyBorder="1" applyAlignment="1">
      <alignment horizontal="center"/>
    </xf>
    <xf numFmtId="0" fontId="17" fillId="0" borderId="0" xfId="0" applyFont="1"/>
    <xf numFmtId="0" fontId="0" fillId="2" borderId="30" xfId="0" applyFill="1" applyBorder="1" applyAlignment="1">
      <alignment horizontal="center"/>
    </xf>
    <xf numFmtId="0" fontId="0" fillId="2" borderId="31" xfId="0" applyFill="1" applyBorder="1" applyAlignment="1">
      <alignment horizontal="center"/>
    </xf>
    <xf numFmtId="0" fontId="0" fillId="4" borderId="0" xfId="0" applyFill="1" applyAlignment="1">
      <alignment horizontal="center"/>
    </xf>
    <xf numFmtId="166" fontId="0" fillId="4" borderId="0" xfId="0" applyNumberFormat="1" applyFill="1" applyAlignment="1">
      <alignment horizontal="center"/>
    </xf>
    <xf numFmtId="2" fontId="0" fillId="4" borderId="0" xfId="0" applyNumberFormat="1" applyFill="1" applyAlignment="1">
      <alignment horizontal="center"/>
    </xf>
    <xf numFmtId="0" fontId="15" fillId="0" borderId="0" xfId="0" applyFont="1" applyAlignment="1">
      <alignment horizontal="center"/>
    </xf>
    <xf numFmtId="0" fontId="18" fillId="0" borderId="0" xfId="0" applyFont="1"/>
    <xf numFmtId="0" fontId="0" fillId="2" borderId="0" xfId="0" applyFill="1" applyAlignment="1">
      <alignment horizontal="center"/>
    </xf>
    <xf numFmtId="0" fontId="15" fillId="2" borderId="0" xfId="0" applyFont="1" applyFill="1" applyAlignment="1">
      <alignment horizontal="center"/>
    </xf>
    <xf numFmtId="0" fontId="15" fillId="0" borderId="0" xfId="0" applyFont="1" applyAlignment="1">
      <alignment horizontal="left"/>
    </xf>
    <xf numFmtId="0" fontId="0" fillId="6" borderId="24" xfId="0" applyFill="1" applyBorder="1" applyAlignment="1">
      <alignment horizontal="center"/>
    </xf>
    <xf numFmtId="0" fontId="0" fillId="6" borderId="25" xfId="0" applyFill="1" applyBorder="1" applyAlignment="1">
      <alignment horizontal="center"/>
    </xf>
    <xf numFmtId="0" fontId="0" fillId="6" borderId="26" xfId="0" applyFill="1" applyBorder="1" applyAlignment="1">
      <alignment horizontal="center"/>
    </xf>
    <xf numFmtId="0" fontId="0" fillId="6" borderId="27" xfId="0" applyFill="1" applyBorder="1" applyAlignment="1">
      <alignment horizontal="center"/>
    </xf>
    <xf numFmtId="0" fontId="0" fillId="6" borderId="28" xfId="0" applyFill="1" applyBorder="1" applyAlignment="1">
      <alignment horizontal="center"/>
    </xf>
    <xf numFmtId="0" fontId="0" fillId="6" borderId="29" xfId="0" applyFill="1" applyBorder="1" applyAlignment="1">
      <alignment horizontal="center"/>
    </xf>
    <xf numFmtId="2" fontId="0" fillId="6" borderId="24" xfId="0" applyNumberFormat="1" applyFill="1" applyBorder="1" applyAlignment="1">
      <alignment horizontal="center"/>
    </xf>
    <xf numFmtId="2" fontId="0" fillId="6" borderId="25" xfId="0" applyNumberFormat="1" applyFill="1" applyBorder="1" applyAlignment="1">
      <alignment horizontal="center"/>
    </xf>
    <xf numFmtId="2" fontId="0" fillId="6" borderId="26" xfId="0" applyNumberFormat="1" applyFill="1" applyBorder="1" applyAlignment="1">
      <alignment horizontal="center"/>
    </xf>
    <xf numFmtId="2" fontId="0" fillId="6" borderId="27" xfId="0" applyNumberFormat="1" applyFill="1" applyBorder="1" applyAlignment="1">
      <alignment horizontal="center"/>
    </xf>
    <xf numFmtId="2" fontId="0" fillId="6" borderId="28" xfId="0" applyNumberFormat="1" applyFill="1" applyBorder="1" applyAlignment="1">
      <alignment horizontal="center"/>
    </xf>
    <xf numFmtId="2" fontId="0" fillId="6" borderId="29" xfId="0" applyNumberFormat="1" applyFill="1" applyBorder="1" applyAlignment="1">
      <alignment horizontal="center"/>
    </xf>
    <xf numFmtId="164" fontId="0" fillId="6" borderId="28" xfId="0" applyNumberFormat="1" applyFill="1" applyBorder="1" applyAlignment="1">
      <alignment horizontal="center"/>
    </xf>
    <xf numFmtId="164" fontId="0" fillId="6" borderId="29" xfId="0" applyNumberFormat="1" applyFill="1" applyBorder="1" applyAlignment="1">
      <alignment horizontal="center"/>
    </xf>
    <xf numFmtId="0" fontId="15" fillId="0" borderId="32" xfId="0" applyFont="1" applyBorder="1"/>
    <xf numFmtId="0" fontId="0" fillId="0" borderId="32" xfId="0" applyBorder="1"/>
    <xf numFmtId="1" fontId="0" fillId="6" borderId="28" xfId="0" applyNumberFormat="1" applyFill="1" applyBorder="1" applyAlignment="1">
      <alignment horizontal="center"/>
    </xf>
    <xf numFmtId="1" fontId="0" fillId="6" borderId="29" xfId="0" applyNumberFormat="1" applyFill="1" applyBorder="1" applyAlignment="1">
      <alignment horizontal="center"/>
    </xf>
    <xf numFmtId="164" fontId="0" fillId="0" borderId="0" xfId="0" applyNumberFormat="1" applyAlignment="1">
      <alignment horizontal="center"/>
    </xf>
    <xf numFmtId="0" fontId="0" fillId="6" borderId="0" xfId="0" applyFill="1"/>
    <xf numFmtId="0" fontId="0" fillId="2" borderId="33" xfId="0" applyFill="1" applyBorder="1" applyAlignment="1">
      <alignment horizontal="center"/>
    </xf>
    <xf numFmtId="0" fontId="0" fillId="2" borderId="34" xfId="0" applyFill="1" applyBorder="1" applyAlignment="1">
      <alignment horizontal="center"/>
    </xf>
    <xf numFmtId="0" fontId="0" fillId="2" borderId="35" xfId="0" applyFill="1" applyBorder="1" applyAlignment="1">
      <alignment horizontal="center"/>
    </xf>
    <xf numFmtId="0" fontId="0" fillId="2" borderId="36" xfId="0" applyFill="1" applyBorder="1" applyAlignment="1">
      <alignment horizontal="center"/>
    </xf>
    <xf numFmtId="0" fontId="0" fillId="2" borderId="37" xfId="0" applyFill="1" applyBorder="1" applyAlignment="1">
      <alignment horizontal="center"/>
    </xf>
    <xf numFmtId="0" fontId="0" fillId="2" borderId="38" xfId="0" applyFill="1" applyBorder="1" applyAlignment="1">
      <alignment horizontal="center"/>
    </xf>
    <xf numFmtId="0" fontId="0" fillId="6" borderId="37" xfId="0" applyFill="1" applyBorder="1" applyAlignment="1">
      <alignment horizontal="center"/>
    </xf>
    <xf numFmtId="2" fontId="0" fillId="2" borderId="28" xfId="0" applyNumberFormat="1" applyFill="1" applyBorder="1" applyAlignment="1">
      <alignment horizontal="center"/>
    </xf>
    <xf numFmtId="2" fontId="0" fillId="2" borderId="37" xfId="0" applyNumberFormat="1" applyFill="1" applyBorder="1" applyAlignment="1">
      <alignment horizontal="center"/>
    </xf>
    <xf numFmtId="2" fontId="0" fillId="2" borderId="29" xfId="0" applyNumberFormat="1" applyFill="1" applyBorder="1" applyAlignment="1">
      <alignment horizontal="center"/>
    </xf>
    <xf numFmtId="0" fontId="0" fillId="6" borderId="39" xfId="0" applyFill="1" applyBorder="1" applyAlignment="1">
      <alignment horizontal="center"/>
    </xf>
    <xf numFmtId="0" fontId="0" fillId="6" borderId="40" xfId="0" applyFill="1" applyBorder="1" applyAlignment="1">
      <alignment horizontal="center"/>
    </xf>
    <xf numFmtId="0" fontId="0" fillId="6" borderId="41" xfId="0" applyFill="1" applyBorder="1" applyAlignment="1">
      <alignment horizontal="center"/>
    </xf>
    <xf numFmtId="2" fontId="0" fillId="6" borderId="37" xfId="0" applyNumberFormat="1" applyFill="1" applyBorder="1" applyAlignment="1">
      <alignment horizontal="center"/>
    </xf>
    <xf numFmtId="164" fontId="0" fillId="6" borderId="37" xfId="0" applyNumberFormat="1" applyFill="1" applyBorder="1" applyAlignment="1">
      <alignment horizontal="center"/>
    </xf>
    <xf numFmtId="165" fontId="0" fillId="6" borderId="39" xfId="0" applyNumberFormat="1" applyFill="1" applyBorder="1" applyAlignment="1">
      <alignment horizontal="center"/>
    </xf>
    <xf numFmtId="165" fontId="0" fillId="6" borderId="40" xfId="0" applyNumberFormat="1" applyFill="1" applyBorder="1" applyAlignment="1">
      <alignment horizontal="center"/>
    </xf>
    <xf numFmtId="165" fontId="0" fillId="6" borderId="41" xfId="0" applyNumberFormat="1" applyFill="1" applyBorder="1" applyAlignment="1">
      <alignment horizontal="center"/>
    </xf>
    <xf numFmtId="2" fontId="0" fillId="0" borderId="0" xfId="0" applyNumberFormat="1" applyAlignment="1">
      <alignment horizontal="center"/>
    </xf>
    <xf numFmtId="2" fontId="15" fillId="0" borderId="0" xfId="0" applyNumberFormat="1" applyFont="1" applyAlignment="1">
      <alignment horizontal="left"/>
    </xf>
    <xf numFmtId="1" fontId="0" fillId="6" borderId="0" xfId="0" applyNumberFormat="1" applyFill="1" applyAlignment="1">
      <alignment horizontal="center"/>
    </xf>
    <xf numFmtId="164" fontId="0" fillId="6" borderId="0" xfId="0" applyNumberFormat="1" applyFill="1" applyAlignment="1">
      <alignment horizontal="center"/>
    </xf>
    <xf numFmtId="10" fontId="0" fillId="6" borderId="0" xfId="1" applyNumberFormat="1" applyFont="1" applyFill="1" applyAlignment="1">
      <alignment horizontal="center"/>
    </xf>
    <xf numFmtId="1" fontId="0" fillId="2" borderId="0" xfId="0" applyNumberFormat="1" applyFill="1"/>
    <xf numFmtId="1" fontId="15" fillId="0" borderId="0" xfId="0" applyNumberFormat="1" applyFont="1"/>
    <xf numFmtId="1" fontId="0" fillId="4" borderId="0" xfId="0" applyNumberFormat="1" applyFill="1"/>
    <xf numFmtId="0" fontId="15" fillId="0" borderId="5" xfId="0" applyFont="1" applyBorder="1"/>
    <xf numFmtId="0" fontId="0" fillId="0" borderId="5" xfId="0" applyBorder="1"/>
    <xf numFmtId="1" fontId="0" fillId="6" borderId="0" xfId="0" applyNumberFormat="1" applyFill="1"/>
    <xf numFmtId="165" fontId="0" fillId="6" borderId="0" xfId="0" applyNumberFormat="1" applyFill="1"/>
    <xf numFmtId="165" fontId="0" fillId="4" borderId="0" xfId="0" applyNumberFormat="1" applyFill="1"/>
    <xf numFmtId="0" fontId="2" fillId="0" borderId="0" xfId="0" applyFont="1" applyAlignment="1">
      <alignment horizontal="right"/>
    </xf>
    <xf numFmtId="0" fontId="15" fillId="0" borderId="0" xfId="0" applyFont="1" applyAlignment="1">
      <alignment horizontal="right"/>
    </xf>
    <xf numFmtId="165" fontId="0" fillId="4" borderId="0" xfId="0" applyNumberFormat="1" applyFill="1" applyAlignment="1">
      <alignment horizontal="center"/>
    </xf>
    <xf numFmtId="1" fontId="0" fillId="2" borderId="0" xfId="0" applyNumberFormat="1" applyFill="1" applyAlignment="1">
      <alignment horizontal="center"/>
    </xf>
    <xf numFmtId="165" fontId="0" fillId="6" borderId="0" xfId="0" applyNumberFormat="1" applyFill="1" applyAlignment="1">
      <alignment horizontal="center"/>
    </xf>
    <xf numFmtId="1" fontId="0" fillId="4" borderId="0" xfId="0" applyNumberFormat="1" applyFill="1" applyAlignment="1">
      <alignment horizontal="center"/>
    </xf>
    <xf numFmtId="167" fontId="0" fillId="2" borderId="0" xfId="0" applyNumberFormat="1" applyFill="1"/>
    <xf numFmtId="167" fontId="1" fillId="2" borderId="0" xfId="0" applyNumberFormat="1" applyFont="1" applyFill="1"/>
    <xf numFmtId="1" fontId="1" fillId="2" borderId="0" xfId="0" applyNumberFormat="1" applyFont="1" applyFill="1"/>
    <xf numFmtId="9" fontId="0" fillId="6" borderId="0" xfId="1" applyFont="1" applyFill="1"/>
    <xf numFmtId="0" fontId="0" fillId="0" borderId="0" xfId="0" applyAlignment="1">
      <alignment horizontal="left" vertical="top" wrapText="1"/>
    </xf>
    <xf numFmtId="1" fontId="0" fillId="0" borderId="0" xfId="0" applyNumberFormat="1" applyAlignment="1">
      <alignment horizontal="center"/>
    </xf>
    <xf numFmtId="0" fontId="2" fillId="0" borderId="0" xfId="0" applyFont="1" applyAlignment="1">
      <alignment horizontal="center"/>
    </xf>
    <xf numFmtId="11" fontId="0" fillId="0" borderId="0" xfId="0" applyNumberFormat="1" applyAlignment="1">
      <alignment horizontal="center"/>
    </xf>
    <xf numFmtId="11" fontId="0" fillId="6" borderId="0" xfId="0" applyNumberFormat="1" applyFill="1"/>
    <xf numFmtId="0" fontId="2" fillId="0" borderId="32" xfId="0" applyFont="1" applyBorder="1"/>
    <xf numFmtId="0" fontId="0" fillId="0" borderId="43" xfId="0" applyBorder="1"/>
    <xf numFmtId="0" fontId="0" fillId="0" borderId="44" xfId="0" applyBorder="1"/>
    <xf numFmtId="0" fontId="0" fillId="0" borderId="45" xfId="0" applyBorder="1"/>
    <xf numFmtId="0" fontId="0" fillId="0" borderId="45" xfId="0" applyBorder="1" applyAlignment="1">
      <alignment horizontal="center"/>
    </xf>
    <xf numFmtId="0" fontId="20" fillId="0" borderId="0" xfId="2" applyFont="1" applyBorder="1" applyAlignment="1">
      <alignment horizontal="right"/>
    </xf>
    <xf numFmtId="0" fontId="0" fillId="0" borderId="46" xfId="0" applyBorder="1"/>
    <xf numFmtId="0" fontId="0" fillId="0" borderId="47" xfId="0" applyBorder="1"/>
    <xf numFmtId="0" fontId="0" fillId="0" borderId="48" xfId="0" applyBorder="1"/>
    <xf numFmtId="0" fontId="2" fillId="0" borderId="42" xfId="0" applyFont="1" applyBorder="1"/>
    <xf numFmtId="0" fontId="0" fillId="0" borderId="0" xfId="0" applyAlignment="1">
      <alignment horizontal="right"/>
    </xf>
    <xf numFmtId="2" fontId="0" fillId="0" borderId="45" xfId="0" applyNumberFormat="1" applyBorder="1" applyAlignment="1">
      <alignment horizontal="center"/>
    </xf>
    <xf numFmtId="0" fontId="2" fillId="0" borderId="44" xfId="0" applyFont="1" applyBorder="1"/>
    <xf numFmtId="168" fontId="1" fillId="0" borderId="0" xfId="1" applyNumberFormat="1" applyFont="1" applyBorder="1" applyAlignment="1">
      <alignment horizontal="center"/>
    </xf>
    <xf numFmtId="168" fontId="1" fillId="0" borderId="45" xfId="1" applyNumberFormat="1" applyFont="1" applyBorder="1" applyAlignment="1">
      <alignment horizontal="center"/>
    </xf>
    <xf numFmtId="168" fontId="0" fillId="6" borderId="0" xfId="1" applyNumberFormat="1" applyFont="1" applyFill="1"/>
    <xf numFmtId="1" fontId="0" fillId="6" borderId="37" xfId="0" applyNumberFormat="1" applyFill="1" applyBorder="1" applyAlignment="1">
      <alignment horizontal="center"/>
    </xf>
    <xf numFmtId="0" fontId="2" fillId="0" borderId="0" xfId="0" applyFont="1" applyAlignment="1">
      <alignment horizontal="left" vertical="top" wrapText="1"/>
    </xf>
    <xf numFmtId="0" fontId="16" fillId="3" borderId="16" xfId="0" applyFont="1" applyFill="1" applyBorder="1" applyAlignment="1">
      <alignment horizontal="center" vertical="center" textRotation="90" wrapText="1"/>
    </xf>
    <xf numFmtId="0" fontId="16" fillId="3" borderId="0" xfId="0" applyFont="1" applyFill="1" applyAlignment="1">
      <alignment horizontal="center" vertical="center" textRotation="90" wrapText="1"/>
    </xf>
    <xf numFmtId="0" fontId="16" fillId="3" borderId="21" xfId="0" applyFont="1" applyFill="1" applyBorder="1" applyAlignment="1">
      <alignment horizontal="center" vertical="center" textRotation="90" wrapText="1"/>
    </xf>
    <xf numFmtId="0" fontId="6" fillId="5" borderId="1" xfId="0" applyFont="1" applyFill="1" applyBorder="1" applyAlignment="1">
      <alignment horizontal="center" vertical="center" textRotation="90" wrapText="1"/>
    </xf>
    <xf numFmtId="0" fontId="6" fillId="5" borderId="2" xfId="0" applyFont="1" applyFill="1" applyBorder="1" applyAlignment="1">
      <alignment horizontal="center" vertical="center" textRotation="90" wrapText="1"/>
    </xf>
    <xf numFmtId="0" fontId="6" fillId="5" borderId="3" xfId="0" applyFont="1" applyFill="1" applyBorder="1" applyAlignment="1">
      <alignment horizontal="center" vertical="center" textRotation="90" wrapText="1"/>
    </xf>
    <xf numFmtId="0" fontId="17" fillId="0" borderId="0" xfId="0" applyFont="1" applyAlignment="1">
      <alignment horizontal="left" vertical="top" wrapText="1"/>
    </xf>
    <xf numFmtId="0" fontId="0" fillId="0" borderId="0" xfId="0" applyAlignment="1">
      <alignment horizontal="left" vertical="top" wrapText="1"/>
    </xf>
  </cellXfs>
  <cellStyles count="3">
    <cellStyle name="Hyperlink" xfId="2" builtinId="8"/>
    <cellStyle name="Normal" xfId="0" builtinId="0"/>
    <cellStyle name="Percent" xfId="1" builtinId="5"/>
  </cellStyles>
  <dxfs count="0"/>
  <tableStyles count="0" defaultTableStyle="TableStyleMedium2" defaultPivotStyle="PivotStyleMedium9"/>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10763</xdr:colOff>
      <xdr:row>30</xdr:row>
      <xdr:rowOff>187483</xdr:rowOff>
    </xdr:from>
    <xdr:ext cx="124586" cy="18037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0B05C73-5902-C344-A726-C5669F12F2C8}"/>
                </a:ext>
              </a:extLst>
            </xdr:cNvPr>
            <xdr:cNvSpPr txBox="1"/>
          </xdr:nvSpPr>
          <xdr:spPr>
            <a:xfrm>
              <a:off x="1166463" y="5902483"/>
              <a:ext cx="124586" cy="18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GB" sz="1100" b="1" i="1">
                            <a:latin typeface="Cambria Math" panose="02040503050406030204" pitchFamily="18" charset="0"/>
                          </a:rPr>
                        </m:ctrlPr>
                      </m:accPr>
                      <m:e>
                        <m:r>
                          <a:rPr lang="it-IT" sz="1100" b="1" i="0">
                            <a:latin typeface="Cambria Math" panose="02040503050406030204" pitchFamily="18" charset="0"/>
                          </a:rPr>
                          <m:t>𝐕</m:t>
                        </m:r>
                      </m:e>
                    </m:acc>
                  </m:oMath>
                </m:oMathPara>
              </a14:m>
              <a:endParaRPr lang="en-GB" sz="1100" b="1" i="0"/>
            </a:p>
          </xdr:txBody>
        </xdr:sp>
      </mc:Choice>
      <mc:Fallback xmlns="">
        <xdr:sp macro="" textlink="">
          <xdr:nvSpPr>
            <xdr:cNvPr id="2" name="TextBox 1">
              <a:extLst>
                <a:ext uri="{FF2B5EF4-FFF2-40B4-BE49-F238E27FC236}">
                  <a16:creationId xmlns:a16="http://schemas.microsoft.com/office/drawing/2014/main" id="{10B05C73-5902-C344-A726-C5669F12F2C8}"/>
                </a:ext>
              </a:extLst>
            </xdr:cNvPr>
            <xdr:cNvSpPr txBox="1"/>
          </xdr:nvSpPr>
          <xdr:spPr>
            <a:xfrm>
              <a:off x="1166463" y="5902483"/>
              <a:ext cx="124586" cy="180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it-IT" sz="1100" b="1" i="0">
                  <a:latin typeface="Cambria Math" panose="02040503050406030204" pitchFamily="18" charset="0"/>
                </a:rPr>
                <a:t>𝐕</a:t>
              </a:r>
              <a:r>
                <a:rPr lang="en-GB" sz="1100" b="1" i="0">
                  <a:latin typeface="Cambria Math" panose="02040503050406030204" pitchFamily="18" charset="0"/>
                </a:rPr>
                <a:t> ̂</a:t>
              </a:r>
              <a:endParaRPr lang="en-GB" sz="1100" b="1" i="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63502</xdr:colOff>
      <xdr:row>32</xdr:row>
      <xdr:rowOff>63504</xdr:rowOff>
    </xdr:from>
    <xdr:ext cx="3034805" cy="86651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41C9AC6-F542-064E-ADC8-3BA865BC1DE8}"/>
                </a:ext>
              </a:extLst>
            </xdr:cNvPr>
            <xdr:cNvSpPr txBox="1"/>
          </xdr:nvSpPr>
          <xdr:spPr>
            <a:xfrm>
              <a:off x="2772835" y="6650571"/>
              <a:ext cx="3034805" cy="866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l"/>
              <a:r>
                <a:rPr lang="it-IT" sz="1100" b="1"/>
                <a:t>1. </a:t>
              </a:r>
              <a14:m>
                <m:oMath xmlns:m="http://schemas.openxmlformats.org/officeDocument/2006/math">
                  <m:r>
                    <a:rPr lang="it-IT" sz="1100" b="1" i="0">
                      <a:latin typeface="Cambria Math" panose="02040503050406030204" pitchFamily="18" charset="0"/>
                    </a:rPr>
                    <m:t>𝐰</m:t>
                  </m:r>
                  <m:r>
                    <a:rPr lang="it-IT" sz="1100" b="0" i="0">
                      <a:latin typeface="Cambria Math" panose="02040503050406030204" pitchFamily="18" charset="0"/>
                    </a:rPr>
                    <m:t>=</m:t>
                  </m:r>
                  <m:r>
                    <a:rPr lang="it-IT" sz="1100" b="1" i="0">
                      <a:latin typeface="Cambria Math" panose="02040503050406030204" pitchFamily="18" charset="0"/>
                    </a:rPr>
                    <m:t>𝐈</m:t>
                  </m:r>
                  <m:r>
                    <a:rPr lang="it-IT" sz="1100" b="1" i="0">
                      <a:latin typeface="Cambria Math" panose="02040503050406030204" pitchFamily="18" charset="0"/>
                    </a:rPr>
                    <m:t>+</m:t>
                  </m:r>
                  <m:r>
                    <a:rPr lang="it-IT" sz="1100" b="1" i="0">
                      <a:latin typeface="Cambria Math" panose="02040503050406030204" pitchFamily="18" charset="0"/>
                    </a:rPr>
                    <m:t>𝐳</m:t>
                  </m:r>
                  <m:r>
                    <a:rPr lang="it-IT" sz="1100" b="1" i="0">
                      <a:latin typeface="Cambria Math" panose="02040503050406030204" pitchFamily="18" charset="0"/>
                    </a:rPr>
                    <m:t>+</m:t>
                  </m:r>
                  <m:r>
                    <a:rPr lang="it-IT" sz="1100" b="1" i="0">
                      <a:latin typeface="Cambria Math" panose="02040503050406030204" pitchFamily="18" charset="0"/>
                    </a:rPr>
                    <m:t>𝐳𝐳</m:t>
                  </m:r>
                  <m:r>
                    <a:rPr lang="it-IT" sz="1100" b="1" i="0">
                      <a:latin typeface="Cambria Math" panose="02040503050406030204" pitchFamily="18" charset="0"/>
                    </a:rPr>
                    <m:t>+</m:t>
                  </m:r>
                  <m:r>
                    <a:rPr lang="it-IT" sz="1100" b="1" i="0">
                      <a:latin typeface="Cambria Math" panose="02040503050406030204" pitchFamily="18" charset="0"/>
                    </a:rPr>
                    <m:t>𝐳𝐳𝐳</m:t>
                  </m:r>
                  <m:r>
                    <a:rPr lang="it-IT" sz="1100" b="1" i="0">
                      <a:latin typeface="Cambria Math" panose="02040503050406030204" pitchFamily="18" charset="0"/>
                    </a:rPr>
                    <m:t>+…=</m:t>
                  </m:r>
                  <m:nary>
                    <m:naryPr>
                      <m:chr m:val="∑"/>
                      <m:ctrlPr>
                        <a:rPr lang="it-IT" sz="1100" b="1" i="1">
                          <a:latin typeface="Cambria Math" panose="02040503050406030204" pitchFamily="18" charset="0"/>
                        </a:rPr>
                      </m:ctrlPr>
                    </m:naryPr>
                    <m:sub>
                      <m:r>
                        <m:rPr>
                          <m:sty m:val="p"/>
                          <m:brk m:alnAt="23"/>
                        </m:rPr>
                        <a:rPr lang="it-IT" sz="1100" b="0" i="0">
                          <a:latin typeface="Cambria Math" panose="02040503050406030204" pitchFamily="18" charset="0"/>
                        </a:rPr>
                        <m:t>t</m:t>
                      </m:r>
                      <m:r>
                        <a:rPr lang="it-IT" sz="1100" b="0" i="0">
                          <a:latin typeface="Cambria Math" panose="02040503050406030204" pitchFamily="18" charset="0"/>
                        </a:rPr>
                        <m:t>=0</m:t>
                      </m:r>
                    </m:sub>
                    <m:sup>
                      <m:r>
                        <a:rPr lang="it-IT" sz="1100" b="1" i="0">
                          <a:latin typeface="Cambria Math" panose="02040503050406030204" pitchFamily="18" charset="0"/>
                        </a:rPr>
                        <m:t>+</m:t>
                      </m:r>
                      <m:r>
                        <a:rPr lang="it-IT" sz="1100" b="1" i="0">
                          <a:latin typeface="Cambria Math" panose="02040503050406030204" pitchFamily="18" charset="0"/>
                          <a:ea typeface="Cambria Math" panose="02040503050406030204" pitchFamily="18" charset="0"/>
                        </a:rPr>
                        <m:t>∞</m:t>
                      </m:r>
                    </m:sup>
                    <m:e>
                      <m:sSup>
                        <m:sSupPr>
                          <m:ctrlPr>
                            <a:rPr lang="it-IT" sz="1100" b="1" i="1">
                              <a:latin typeface="Cambria Math" panose="02040503050406030204" pitchFamily="18" charset="0"/>
                            </a:rPr>
                          </m:ctrlPr>
                        </m:sSupPr>
                        <m:e>
                          <m:r>
                            <a:rPr lang="it-IT" sz="1100" b="1" i="0">
                              <a:latin typeface="Cambria Math" panose="02040503050406030204" pitchFamily="18" charset="0"/>
                            </a:rPr>
                            <m:t>𝐳</m:t>
                          </m:r>
                        </m:e>
                        <m:sup>
                          <m:r>
                            <m:rPr>
                              <m:sty m:val="p"/>
                            </m:rPr>
                            <a:rPr lang="it-IT" sz="1100" b="0" i="0">
                              <a:latin typeface="Cambria Math" panose="02040503050406030204" pitchFamily="18" charset="0"/>
                            </a:rPr>
                            <m:t>t</m:t>
                          </m:r>
                        </m:sup>
                      </m:sSup>
                      <m:r>
                        <a:rPr lang="it-IT" sz="1100" b="1" i="0">
                          <a:latin typeface="Cambria Math" panose="02040503050406030204" pitchFamily="18" charset="0"/>
                        </a:rPr>
                        <m:t>=</m:t>
                      </m:r>
                      <m:sSup>
                        <m:sSupPr>
                          <m:ctrlPr>
                            <a:rPr lang="it-IT" sz="1100" b="1" i="1">
                              <a:latin typeface="Cambria Math" panose="02040503050406030204" pitchFamily="18" charset="0"/>
                            </a:rPr>
                          </m:ctrlPr>
                        </m:sSupPr>
                        <m:e>
                          <m:d>
                            <m:dPr>
                              <m:ctrlPr>
                                <a:rPr lang="it-IT" sz="1100" b="1" i="1">
                                  <a:latin typeface="Cambria Math" panose="02040503050406030204" pitchFamily="18" charset="0"/>
                                </a:rPr>
                              </m:ctrlPr>
                            </m:dPr>
                            <m:e>
                              <m:r>
                                <a:rPr lang="it-IT" sz="1100" b="1" i="0">
                                  <a:latin typeface="Cambria Math" panose="02040503050406030204" pitchFamily="18" charset="0"/>
                                </a:rPr>
                                <m:t>𝐈</m:t>
                              </m:r>
                              <m:r>
                                <a:rPr lang="it-IT" sz="1100" b="1" i="0">
                                  <a:latin typeface="Cambria Math" panose="02040503050406030204" pitchFamily="18" charset="0"/>
                                </a:rPr>
                                <m:t>−</m:t>
                              </m:r>
                              <m:r>
                                <a:rPr lang="it-IT" sz="1100" b="1" i="0">
                                  <a:latin typeface="Cambria Math" panose="02040503050406030204" pitchFamily="18" charset="0"/>
                                </a:rPr>
                                <m:t>𝐳</m:t>
                              </m:r>
                            </m:e>
                          </m:d>
                        </m:e>
                        <m:sup>
                          <m:r>
                            <a:rPr lang="it-IT" sz="1100" b="0" i="0">
                              <a:latin typeface="Cambria Math" panose="02040503050406030204" pitchFamily="18" charset="0"/>
                            </a:rPr>
                            <m:t>−1</m:t>
                          </m:r>
                        </m:sup>
                      </m:sSup>
                    </m:e>
                  </m:nary>
                </m:oMath>
              </a14:m>
              <a:endParaRPr lang="it-IT" sz="1100" b="1" i="0"/>
            </a:p>
            <a:p>
              <a:pPr algn="l"/>
              <a:endParaRPr lang="it-IT" sz="1100" b="0" i="0"/>
            </a:p>
            <a:p>
              <a:pPr algn="l"/>
              <a:r>
                <a:rPr lang="it-IT" sz="1100" b="0" i="0"/>
                <a:t>if</a:t>
              </a:r>
              <a:r>
                <a:rPr lang="it-IT" sz="1100" b="0" i="0" baseline="0"/>
                <a:t> we </a:t>
              </a:r>
              <a:r>
                <a:rPr lang="it-IT" sz="1100" b="0" i="0"/>
                <a:t>multiply by </a:t>
              </a:r>
              <a:r>
                <a:rPr lang="it-IT" sz="1100" b="1" i="0"/>
                <a:t>Y</a:t>
              </a:r>
            </a:p>
            <a:p>
              <a:pPr algn="l"/>
              <a:endParaRPr lang="it-IT" sz="1100" b="1" i="0"/>
            </a:p>
            <a:p>
              <a:pPr algn="l"/>
              <a:r>
                <a:rPr lang="it-IT" sz="1100" b="1"/>
                <a:t>2. </a:t>
              </a:r>
              <a14:m>
                <m:oMath xmlns:m="http://schemas.openxmlformats.org/officeDocument/2006/math">
                  <m:r>
                    <a:rPr lang="it-IT" sz="1100" b="1" i="0">
                      <a:latin typeface="Cambria Math" panose="02040503050406030204" pitchFamily="18" charset="0"/>
                    </a:rPr>
                    <m:t>𝐰𝐘</m:t>
                  </m:r>
                  <m:r>
                    <a:rPr lang="it-IT" sz="1100" b="1" i="0">
                      <a:latin typeface="Cambria Math" panose="02040503050406030204" pitchFamily="18" charset="0"/>
                    </a:rPr>
                    <m:t>=</m:t>
                  </m:r>
                  <m:nary>
                    <m:naryPr>
                      <m:chr m:val="∑"/>
                      <m:ctrlPr>
                        <a:rPr lang="it-IT" sz="1100" b="1" i="1">
                          <a:latin typeface="Cambria Math" panose="02040503050406030204" pitchFamily="18" charset="0"/>
                        </a:rPr>
                      </m:ctrlPr>
                    </m:naryPr>
                    <m:sub>
                      <m:r>
                        <m:rPr>
                          <m:sty m:val="p"/>
                          <m:brk m:alnAt="23"/>
                        </m:rPr>
                        <a:rPr lang="it-IT" sz="1100" b="0" i="0">
                          <a:latin typeface="Cambria Math" panose="02040503050406030204" pitchFamily="18" charset="0"/>
                        </a:rPr>
                        <m:t>t</m:t>
                      </m:r>
                      <m:r>
                        <a:rPr lang="it-IT" sz="1100" b="0" i="0">
                          <a:latin typeface="Cambria Math" panose="02040503050406030204" pitchFamily="18" charset="0"/>
                        </a:rPr>
                        <m:t>=0</m:t>
                      </m:r>
                    </m:sub>
                    <m:sup>
                      <m:r>
                        <a:rPr lang="it-IT" sz="1100" b="1" i="0">
                          <a:latin typeface="Cambria Math" panose="02040503050406030204" pitchFamily="18" charset="0"/>
                        </a:rPr>
                        <m:t>+</m:t>
                      </m:r>
                      <m:r>
                        <a:rPr lang="it-IT" sz="1100" b="1" i="0">
                          <a:latin typeface="Cambria Math" panose="02040503050406030204" pitchFamily="18" charset="0"/>
                          <a:ea typeface="Cambria Math" panose="02040503050406030204" pitchFamily="18" charset="0"/>
                        </a:rPr>
                        <m:t>∞</m:t>
                      </m:r>
                    </m:sup>
                    <m:e>
                      <m:sSup>
                        <m:sSupPr>
                          <m:ctrlPr>
                            <a:rPr lang="it-IT" sz="1100" b="1" i="1">
                              <a:latin typeface="Cambria Math" panose="02040503050406030204" pitchFamily="18" charset="0"/>
                            </a:rPr>
                          </m:ctrlPr>
                        </m:sSupPr>
                        <m:e>
                          <m:r>
                            <a:rPr lang="it-IT" sz="1100" b="1" i="0">
                              <a:latin typeface="Cambria Math" panose="02040503050406030204" pitchFamily="18" charset="0"/>
                            </a:rPr>
                            <m:t>𝐳</m:t>
                          </m:r>
                        </m:e>
                        <m:sup>
                          <m:r>
                            <m:rPr>
                              <m:sty m:val="p"/>
                            </m:rPr>
                            <a:rPr lang="it-IT" sz="1100" b="0" i="0">
                              <a:latin typeface="Cambria Math" panose="02040503050406030204" pitchFamily="18" charset="0"/>
                            </a:rPr>
                            <m:t>t</m:t>
                          </m:r>
                        </m:sup>
                      </m:sSup>
                      <m:r>
                        <a:rPr lang="it-IT" sz="1100" b="1" i="0">
                          <a:latin typeface="Cambria Math" panose="02040503050406030204" pitchFamily="18" charset="0"/>
                        </a:rPr>
                        <m:t>𝐘</m:t>
                      </m:r>
                      <m:r>
                        <a:rPr lang="it-IT" sz="1100" b="1" i="0">
                          <a:latin typeface="Cambria Math" panose="02040503050406030204" pitchFamily="18" charset="0"/>
                        </a:rPr>
                        <m:t>=</m:t>
                      </m:r>
                      <m:sSup>
                        <m:sSupPr>
                          <m:ctrlPr>
                            <a:rPr lang="it-IT" sz="1100" b="1" i="1">
                              <a:latin typeface="Cambria Math" panose="02040503050406030204" pitchFamily="18" charset="0"/>
                            </a:rPr>
                          </m:ctrlPr>
                        </m:sSupPr>
                        <m:e>
                          <m:d>
                            <m:dPr>
                              <m:ctrlPr>
                                <a:rPr lang="it-IT" sz="1100" b="1" i="1">
                                  <a:latin typeface="Cambria Math" panose="02040503050406030204" pitchFamily="18" charset="0"/>
                                </a:rPr>
                              </m:ctrlPr>
                            </m:dPr>
                            <m:e>
                              <m:r>
                                <a:rPr lang="it-IT" sz="1100" b="1" i="0">
                                  <a:latin typeface="Cambria Math" panose="02040503050406030204" pitchFamily="18" charset="0"/>
                                </a:rPr>
                                <m:t>𝐈</m:t>
                              </m:r>
                              <m:r>
                                <a:rPr lang="it-IT" sz="1100" b="1" i="0">
                                  <a:latin typeface="Cambria Math" panose="02040503050406030204" pitchFamily="18" charset="0"/>
                                </a:rPr>
                                <m:t>−</m:t>
                              </m:r>
                              <m:r>
                                <a:rPr lang="it-IT" sz="1100" b="1" i="0">
                                  <a:latin typeface="Cambria Math" panose="02040503050406030204" pitchFamily="18" charset="0"/>
                                </a:rPr>
                                <m:t>𝐳</m:t>
                              </m:r>
                            </m:e>
                          </m:d>
                        </m:e>
                        <m:sup>
                          <m:r>
                            <a:rPr lang="it-IT" sz="1100" b="0" i="0">
                              <a:latin typeface="Cambria Math" panose="02040503050406030204" pitchFamily="18" charset="0"/>
                            </a:rPr>
                            <m:t>−1</m:t>
                          </m:r>
                        </m:sup>
                      </m:sSup>
                      <m:r>
                        <a:rPr lang="it-IT" sz="1100" b="1" i="0">
                          <a:latin typeface="Cambria Math" panose="02040503050406030204" pitchFamily="18" charset="0"/>
                        </a:rPr>
                        <m:t>𝐘</m:t>
                      </m:r>
                    </m:e>
                  </m:nary>
                  <m:r>
                    <a:rPr lang="it-IT" sz="1100" b="1" i="0">
                      <a:latin typeface="Cambria Math" panose="02040503050406030204" pitchFamily="18" charset="0"/>
                    </a:rPr>
                    <m:t>=</m:t>
                  </m:r>
                  <m:r>
                    <a:rPr lang="it-IT" sz="1100" b="1" i="0">
                      <a:latin typeface="Cambria Math" panose="02040503050406030204" pitchFamily="18" charset="0"/>
                    </a:rPr>
                    <m:t>𝐗</m:t>
                  </m:r>
                </m:oMath>
              </a14:m>
              <a:endParaRPr lang="en-GB" sz="1100" b="1" i="0"/>
            </a:p>
          </xdr:txBody>
        </xdr:sp>
      </mc:Choice>
      <mc:Fallback xmlns="">
        <xdr:sp macro="" textlink="">
          <xdr:nvSpPr>
            <xdr:cNvPr id="3" name="TextBox 2">
              <a:extLst>
                <a:ext uri="{FF2B5EF4-FFF2-40B4-BE49-F238E27FC236}">
                  <a16:creationId xmlns:a16="http://schemas.microsoft.com/office/drawing/2014/main" id="{241C9AC6-F542-064E-ADC8-3BA865BC1DE8}"/>
                </a:ext>
              </a:extLst>
            </xdr:cNvPr>
            <xdr:cNvSpPr txBox="1"/>
          </xdr:nvSpPr>
          <xdr:spPr>
            <a:xfrm>
              <a:off x="2772835" y="6650571"/>
              <a:ext cx="3034805" cy="866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l"/>
              <a:r>
                <a:rPr lang="it-IT" sz="1100" b="1"/>
                <a:t>1. </a:t>
              </a:r>
              <a:r>
                <a:rPr lang="it-IT" sz="1100" b="1" i="0">
                  <a:latin typeface="Cambria Math" panose="02040503050406030204" pitchFamily="18" charset="0"/>
                </a:rPr>
                <a:t>𝐰</a:t>
              </a:r>
              <a:r>
                <a:rPr lang="it-IT" sz="1100" b="0" i="0">
                  <a:latin typeface="Cambria Math" panose="02040503050406030204" pitchFamily="18" charset="0"/>
                </a:rPr>
                <a:t>=</a:t>
              </a:r>
              <a:r>
                <a:rPr lang="it-IT" sz="1100" b="1" i="0">
                  <a:latin typeface="Cambria Math" panose="02040503050406030204" pitchFamily="18" charset="0"/>
                </a:rPr>
                <a:t>𝐈+𝐳+𝐳𝐳+𝐳𝐳𝐳+…=∑</a:t>
              </a:r>
              <a:r>
                <a:rPr lang="it-IT" sz="1100" b="0" i="0">
                  <a:latin typeface="Cambria Math" panose="02040503050406030204" pitchFamily="18" charset="0"/>
                </a:rPr>
                <a:t>_</a:t>
              </a:r>
              <a:r>
                <a:rPr lang="it-IT" sz="1100" b="1" i="0">
                  <a:latin typeface="Cambria Math" panose="02040503050406030204" pitchFamily="18" charset="0"/>
                </a:rPr>
                <a:t>(</a:t>
              </a:r>
              <a:r>
                <a:rPr lang="it-IT" sz="1100" b="0" i="0">
                  <a:latin typeface="Cambria Math" panose="02040503050406030204" pitchFamily="18" charset="0"/>
                </a:rPr>
                <a:t>t=0</a:t>
              </a:r>
              <a:r>
                <a:rPr lang="it-IT" sz="1100" b="1" i="0">
                  <a:latin typeface="Cambria Math" panose="02040503050406030204" pitchFamily="18" charset="0"/>
                </a:rPr>
                <a:t>)</a:t>
              </a:r>
              <a:r>
                <a:rPr lang="it-IT" sz="1100" b="1" i="0">
                  <a:latin typeface="Cambria Math" panose="02040503050406030204" pitchFamily="18" charset="0"/>
                  <a:ea typeface="Cambria Math" panose="02040503050406030204" pitchFamily="18" charset="0"/>
                </a:rPr>
                <a:t>^(</a:t>
              </a:r>
              <a:r>
                <a:rPr lang="it-IT" sz="1100" b="1" i="0">
                  <a:latin typeface="Cambria Math" panose="02040503050406030204" pitchFamily="18" charset="0"/>
                </a:rPr>
                <a:t>+</a:t>
              </a:r>
              <a:r>
                <a:rPr lang="it-IT" sz="1100" b="1" i="0">
                  <a:latin typeface="Cambria Math" panose="02040503050406030204" pitchFamily="18" charset="0"/>
                  <a:ea typeface="Cambria Math" panose="02040503050406030204" pitchFamily="18" charset="0"/>
                </a:rPr>
                <a:t>∞)▒〖</a:t>
              </a:r>
              <a:r>
                <a:rPr lang="it-IT" sz="1100" b="1" i="0">
                  <a:latin typeface="Cambria Math" panose="02040503050406030204" pitchFamily="18" charset="0"/>
                </a:rPr>
                <a:t>𝐳^</a:t>
              </a:r>
              <a:r>
                <a:rPr lang="it-IT" sz="1100" b="0" i="0">
                  <a:latin typeface="Cambria Math" panose="02040503050406030204" pitchFamily="18" charset="0"/>
                </a:rPr>
                <a:t>t</a:t>
              </a:r>
              <a:r>
                <a:rPr lang="it-IT" sz="1100" b="1" i="0">
                  <a:latin typeface="Cambria Math" panose="02040503050406030204" pitchFamily="18" charset="0"/>
                </a:rPr>
                <a:t>=(𝐈−𝐳)^(</a:t>
              </a:r>
              <a:r>
                <a:rPr lang="it-IT" sz="1100" b="0" i="0">
                  <a:latin typeface="Cambria Math" panose="02040503050406030204" pitchFamily="18" charset="0"/>
                </a:rPr>
                <a:t>−1</a:t>
              </a:r>
              <a:r>
                <a:rPr lang="it-IT" sz="1100" b="1" i="0">
                  <a:latin typeface="Cambria Math" panose="02040503050406030204" pitchFamily="18" charset="0"/>
                </a:rPr>
                <a:t>) </a:t>
              </a:r>
              <a:r>
                <a:rPr lang="it-IT" sz="1100" b="1" i="0">
                  <a:latin typeface="Cambria Math" panose="02040503050406030204" pitchFamily="18" charset="0"/>
                  <a:ea typeface="Cambria Math" panose="02040503050406030204" pitchFamily="18" charset="0"/>
                </a:rPr>
                <a:t>〗</a:t>
              </a:r>
              <a:endParaRPr lang="it-IT" sz="1100" b="1" i="0"/>
            </a:p>
            <a:p>
              <a:pPr algn="l"/>
              <a:endParaRPr lang="it-IT" sz="1100" b="0" i="0"/>
            </a:p>
            <a:p>
              <a:pPr algn="l"/>
              <a:r>
                <a:rPr lang="it-IT" sz="1100" b="0" i="0"/>
                <a:t>if</a:t>
              </a:r>
              <a:r>
                <a:rPr lang="it-IT" sz="1100" b="0" i="0" baseline="0"/>
                <a:t> we </a:t>
              </a:r>
              <a:r>
                <a:rPr lang="it-IT" sz="1100" b="0" i="0"/>
                <a:t>multiply by </a:t>
              </a:r>
              <a:r>
                <a:rPr lang="it-IT" sz="1100" b="1" i="0"/>
                <a:t>Y</a:t>
              </a:r>
            </a:p>
            <a:p>
              <a:pPr algn="l"/>
              <a:endParaRPr lang="it-IT" sz="1100" b="1" i="0"/>
            </a:p>
            <a:p>
              <a:pPr algn="l"/>
              <a:r>
                <a:rPr lang="it-IT" sz="1100" b="1"/>
                <a:t>2. </a:t>
              </a:r>
              <a:r>
                <a:rPr lang="it-IT" sz="1100" b="1" i="0">
                  <a:latin typeface="Cambria Math" panose="02040503050406030204" pitchFamily="18" charset="0"/>
                </a:rPr>
                <a:t>𝐰𝐘=∑</a:t>
              </a:r>
              <a:r>
                <a:rPr lang="it-IT" sz="1100" b="0" i="0">
                  <a:latin typeface="Cambria Math" panose="02040503050406030204" pitchFamily="18" charset="0"/>
                </a:rPr>
                <a:t>_</a:t>
              </a:r>
              <a:r>
                <a:rPr lang="it-IT" sz="1100" b="1" i="0">
                  <a:latin typeface="Cambria Math" panose="02040503050406030204" pitchFamily="18" charset="0"/>
                </a:rPr>
                <a:t>(</a:t>
              </a:r>
              <a:r>
                <a:rPr lang="it-IT" sz="1100" b="0" i="0">
                  <a:latin typeface="Cambria Math" panose="02040503050406030204" pitchFamily="18" charset="0"/>
                </a:rPr>
                <a:t>t=0</a:t>
              </a:r>
              <a:r>
                <a:rPr lang="it-IT" sz="1100" b="1" i="0">
                  <a:latin typeface="Cambria Math" panose="02040503050406030204" pitchFamily="18" charset="0"/>
                </a:rPr>
                <a:t>)</a:t>
              </a:r>
              <a:r>
                <a:rPr lang="it-IT" sz="1100" b="1" i="0">
                  <a:latin typeface="Cambria Math" panose="02040503050406030204" pitchFamily="18" charset="0"/>
                  <a:ea typeface="Cambria Math" panose="02040503050406030204" pitchFamily="18" charset="0"/>
                </a:rPr>
                <a:t>^(</a:t>
              </a:r>
              <a:r>
                <a:rPr lang="it-IT" sz="1100" b="1" i="0">
                  <a:latin typeface="Cambria Math" panose="02040503050406030204" pitchFamily="18" charset="0"/>
                </a:rPr>
                <a:t>+</a:t>
              </a:r>
              <a:r>
                <a:rPr lang="it-IT" sz="1100" b="1" i="0">
                  <a:latin typeface="Cambria Math" panose="02040503050406030204" pitchFamily="18" charset="0"/>
                  <a:ea typeface="Cambria Math" panose="02040503050406030204" pitchFamily="18" charset="0"/>
                </a:rPr>
                <a:t>∞)▒〖</a:t>
              </a:r>
              <a:r>
                <a:rPr lang="it-IT" sz="1100" b="1" i="0">
                  <a:latin typeface="Cambria Math" panose="02040503050406030204" pitchFamily="18" charset="0"/>
                </a:rPr>
                <a:t>𝐳^</a:t>
              </a:r>
              <a:r>
                <a:rPr lang="it-IT" sz="1100" b="0" i="0">
                  <a:latin typeface="Cambria Math" panose="02040503050406030204" pitchFamily="18" charset="0"/>
                </a:rPr>
                <a:t>t</a:t>
              </a:r>
              <a:r>
                <a:rPr lang="it-IT" sz="1100" b="1" i="0">
                  <a:latin typeface="Cambria Math" panose="02040503050406030204" pitchFamily="18" charset="0"/>
                </a:rPr>
                <a:t> 𝐘=(𝐈−𝐳)^(</a:t>
              </a:r>
              <a:r>
                <a:rPr lang="it-IT" sz="1100" b="0" i="0">
                  <a:latin typeface="Cambria Math" panose="02040503050406030204" pitchFamily="18" charset="0"/>
                </a:rPr>
                <a:t>−1</a:t>
              </a:r>
              <a:r>
                <a:rPr lang="it-IT" sz="1100" b="1" i="0">
                  <a:latin typeface="Cambria Math" panose="02040503050406030204" pitchFamily="18" charset="0"/>
                </a:rPr>
                <a:t>) 𝐘</a:t>
              </a:r>
              <a:r>
                <a:rPr lang="it-IT" sz="1100" b="1" i="0">
                  <a:latin typeface="Cambria Math" panose="02040503050406030204" pitchFamily="18" charset="0"/>
                  <a:ea typeface="Cambria Math" panose="02040503050406030204" pitchFamily="18" charset="0"/>
                </a:rPr>
                <a:t>〗</a:t>
              </a:r>
              <a:r>
                <a:rPr lang="it-IT" sz="1100" b="1" i="0">
                  <a:latin typeface="Cambria Math" panose="02040503050406030204" pitchFamily="18" charset="0"/>
                </a:rPr>
                <a:t>=𝐗</a:t>
              </a:r>
              <a:endParaRPr lang="en-GB" sz="1100" b="1" i="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editAs="oneCell">
    <xdr:from>
      <xdr:col>25</xdr:col>
      <xdr:colOff>0</xdr:colOff>
      <xdr:row>41</xdr:row>
      <xdr:rowOff>12701</xdr:rowOff>
    </xdr:from>
    <xdr:to>
      <xdr:col>32</xdr:col>
      <xdr:colOff>130498</xdr:colOff>
      <xdr:row>61</xdr:row>
      <xdr:rowOff>132081</xdr:rowOff>
    </xdr:to>
    <xdr:pic>
      <xdr:nvPicPr>
        <xdr:cNvPr id="3" name="Picture 2">
          <a:extLst>
            <a:ext uri="{FF2B5EF4-FFF2-40B4-BE49-F238E27FC236}">
              <a16:creationId xmlns:a16="http://schemas.microsoft.com/office/drawing/2014/main" id="{11AE784E-7DE6-E27A-0705-C60E2B34B075}"/>
            </a:ext>
          </a:extLst>
        </xdr:cNvPr>
        <xdr:cNvPicPr>
          <a:picLocks noChangeAspect="1"/>
        </xdr:cNvPicPr>
      </xdr:nvPicPr>
      <xdr:blipFill>
        <a:blip xmlns:r="http://schemas.openxmlformats.org/officeDocument/2006/relationships" r:embed="rId1"/>
        <a:stretch>
          <a:fillRect/>
        </a:stretch>
      </xdr:blipFill>
      <xdr:spPr>
        <a:xfrm>
          <a:off x="18935700" y="7823201"/>
          <a:ext cx="5908998" cy="3937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ENG-SESAM/Documenti%20condivisi/b-Teaching/aa-2025-2026/Master%20AIL/Project%20work/Hands-on%20IOA.xlsx" TargetMode="External"/><Relationship Id="rId2" Type="http://schemas.openxmlformats.org/officeDocument/2006/relationships/externalLinkPath" Target="https://polimi365.sharepoint.com/sites/DENG-SESAM/Documenti%20condivisi/b-Teaching/aa-2025-2026/Master%20AIL/Project%20work/Hands-on%20IOA.xlsx" TargetMode="External"/><Relationship Id="rId1" Type="http://schemas.openxmlformats.org/officeDocument/2006/relationships/externalLinkPath" Target="/sites/DENG-SESAM/Documenti%20condivisi/b-Teaching/aa-2025-2026/Master%20AIL/Project%20work/Hands-on%20IO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aseline"/>
      <sheetName val="Shock 1a - New power techs"/>
      <sheetName val="Shock 1b - Modern industry"/>
      <sheetName val="Shock 2a - Increased HH demand"/>
      <sheetName val="Shock 2b - Consumption basket"/>
      <sheetName val="Shock 3 - Power supply mix"/>
      <sheetName val="Shock 4 - Industries electr"/>
    </sheetNames>
    <sheetDataSet>
      <sheetData sheetId="0">
        <row r="1">
          <cell r="B1">
            <v>12</v>
          </cell>
        </row>
        <row r="6">
          <cell r="Q6">
            <v>1625.8018358358067</v>
          </cell>
          <cell r="R6">
            <v>1029.5826626468224</v>
          </cell>
          <cell r="S6">
            <v>669.07564390903326</v>
          </cell>
          <cell r="T6">
            <v>412.93128090710718</v>
          </cell>
          <cell r="U6">
            <v>153.89713035253106</v>
          </cell>
          <cell r="V6">
            <v>16011.827188308587</v>
          </cell>
          <cell r="W6">
            <v>0</v>
          </cell>
          <cell r="X6">
            <v>66.622997156548465</v>
          </cell>
          <cell r="Y6">
            <v>51.595717892298403</v>
          </cell>
          <cell r="Z6">
            <v>5205.9665982026181</v>
          </cell>
        </row>
        <row r="7">
          <cell r="Q7">
            <v>0</v>
          </cell>
          <cell r="R7">
            <v>0</v>
          </cell>
          <cell r="S7">
            <v>0</v>
          </cell>
          <cell r="T7">
            <v>0</v>
          </cell>
          <cell r="U7">
            <v>0</v>
          </cell>
          <cell r="V7">
            <v>0</v>
          </cell>
          <cell r="W7">
            <v>0</v>
          </cell>
          <cell r="X7">
            <v>0</v>
          </cell>
          <cell r="Y7">
            <v>0</v>
          </cell>
          <cell r="Z7">
            <v>211.05935424922589</v>
          </cell>
        </row>
        <row r="8">
          <cell r="Q8">
            <v>495.41243747950773</v>
          </cell>
          <cell r="R8">
            <v>280.63130400363235</v>
          </cell>
          <cell r="S8">
            <v>180.95972157532066</v>
          </cell>
          <cell r="T8">
            <v>101.24354567118118</v>
          </cell>
          <cell r="U8">
            <v>46.837349736190497</v>
          </cell>
          <cell r="V8">
            <v>4260.4719204618132</v>
          </cell>
          <cell r="W8">
            <v>0</v>
          </cell>
          <cell r="X8">
            <v>0</v>
          </cell>
          <cell r="Y8">
            <v>5.2092999418871937</v>
          </cell>
          <cell r="Z8">
            <v>123.02997846141062</v>
          </cell>
        </row>
        <row r="9">
          <cell r="Q9">
            <v>302.23872454813448</v>
          </cell>
          <cell r="R9">
            <v>133.73240392541328</v>
          </cell>
          <cell r="S9">
            <v>86.720648094368698</v>
          </cell>
          <cell r="T9">
            <v>56.212337117708927</v>
          </cell>
          <cell r="U9">
            <v>17.686416748190339</v>
          </cell>
          <cell r="V9">
            <v>1418.8778889664479</v>
          </cell>
          <cell r="W9">
            <v>0</v>
          </cell>
          <cell r="X9">
            <v>0</v>
          </cell>
          <cell r="Y9">
            <v>0</v>
          </cell>
          <cell r="Z9">
            <v>131.65654347107534</v>
          </cell>
        </row>
        <row r="10">
          <cell r="Q10">
            <v>26.169959302513323</v>
          </cell>
          <cell r="R10">
            <v>6.0339702118097671</v>
          </cell>
          <cell r="S10">
            <v>3.5414902013960545</v>
          </cell>
          <cell r="T10">
            <v>1.1313606985302131</v>
          </cell>
          <cell r="U10">
            <v>0.19726467896098449</v>
          </cell>
          <cell r="V10">
            <v>50.710689469670207</v>
          </cell>
          <cell r="W10">
            <v>0</v>
          </cell>
          <cell r="X10">
            <v>0</v>
          </cell>
          <cell r="Y10">
            <v>837.8358070288474</v>
          </cell>
          <cell r="Z10">
            <v>365.80332532971636</v>
          </cell>
        </row>
        <row r="11">
          <cell r="Q11">
            <v>34.330665853090565</v>
          </cell>
          <cell r="R11">
            <v>18.590243333095913</v>
          </cell>
          <cell r="S11">
            <v>10.736314002640247</v>
          </cell>
          <cell r="T11">
            <v>5.9051224758781871</v>
          </cell>
          <cell r="U11">
            <v>1.8871094539106892</v>
          </cell>
          <cell r="V11">
            <v>33.927531075358644</v>
          </cell>
          <cell r="W11">
            <v>0</v>
          </cell>
          <cell r="X11">
            <v>0</v>
          </cell>
          <cell r="Y11">
            <v>0</v>
          </cell>
          <cell r="Z11">
            <v>0</v>
          </cell>
        </row>
        <row r="12">
          <cell r="Q12">
            <v>43.539128086114381</v>
          </cell>
          <cell r="R12">
            <v>23.576675998517853</v>
          </cell>
          <cell r="S12">
            <v>13.61609916143283</v>
          </cell>
          <cell r="T12">
            <v>7.4890444869803741</v>
          </cell>
          <cell r="U12">
            <v>2.3932859495918648</v>
          </cell>
          <cell r="V12">
            <v>46.680730176768321</v>
          </cell>
          <cell r="W12">
            <v>0</v>
          </cell>
          <cell r="X12">
            <v>0</v>
          </cell>
          <cell r="Y12">
            <v>0</v>
          </cell>
          <cell r="Z12">
            <v>0</v>
          </cell>
        </row>
        <row r="13">
          <cell r="Q13">
            <v>44.472408376915411</v>
          </cell>
          <cell r="R13">
            <v>24.082052380619455</v>
          </cell>
          <cell r="S13">
            <v>13.907966213979766</v>
          </cell>
          <cell r="T13">
            <v>7.6495754375039322</v>
          </cell>
          <cell r="U13">
            <v>2.4445870827378329</v>
          </cell>
          <cell r="V13">
            <v>43.950182139214384</v>
          </cell>
          <cell r="W13">
            <v>0</v>
          </cell>
          <cell r="X13">
            <v>0</v>
          </cell>
          <cell r="Y13">
            <v>0</v>
          </cell>
          <cell r="Z13">
            <v>0</v>
          </cell>
        </row>
        <row r="14">
          <cell r="Q14">
            <v>44.686768561430938</v>
          </cell>
          <cell r="R14">
            <v>24.198129592990561</v>
          </cell>
          <cell r="S14">
            <v>13.975003604412882</v>
          </cell>
          <cell r="T14">
            <v>7.6864469374315103</v>
          </cell>
          <cell r="U14">
            <v>2.4563701670646072</v>
          </cell>
          <cell r="V14">
            <v>44.16202515596774</v>
          </cell>
          <cell r="W14">
            <v>0</v>
          </cell>
          <cell r="X14">
            <v>0</v>
          </cell>
          <cell r="Y14">
            <v>0</v>
          </cell>
          <cell r="Z14">
            <v>0</v>
          </cell>
        </row>
        <row r="15">
          <cell r="Q15">
            <v>385.60838735148212</v>
          </cell>
          <cell r="R15">
            <v>139.56288751829462</v>
          </cell>
          <cell r="S15">
            <v>84.051353843129661</v>
          </cell>
          <cell r="T15">
            <v>48.338901391764196</v>
          </cell>
          <cell r="U15">
            <v>12.654392232026526</v>
          </cell>
          <cell r="V15">
            <v>2302.2752744560285</v>
          </cell>
          <cell r="W15">
            <v>0</v>
          </cell>
          <cell r="X15">
            <v>0</v>
          </cell>
          <cell r="Y15">
            <v>113.42848140882847</v>
          </cell>
          <cell r="Z15">
            <v>862.27503560800176</v>
          </cell>
        </row>
        <row r="16">
          <cell r="Q16">
            <v>0</v>
          </cell>
          <cell r="R16">
            <v>0</v>
          </cell>
          <cell r="S16">
            <v>0</v>
          </cell>
          <cell r="T16">
            <v>0</v>
          </cell>
          <cell r="U16">
            <v>0</v>
          </cell>
          <cell r="V16">
            <v>0</v>
          </cell>
          <cell r="W16">
            <v>0</v>
          </cell>
          <cell r="X16">
            <v>0</v>
          </cell>
          <cell r="Y16">
            <v>11098.860005460867</v>
          </cell>
          <cell r="Z16">
            <v>0</v>
          </cell>
        </row>
        <row r="17">
          <cell r="Q17">
            <v>5591.1363814390234</v>
          </cell>
          <cell r="R17">
            <v>1428.9426815002967</v>
          </cell>
          <cell r="S17">
            <v>820.58154277828191</v>
          </cell>
          <cell r="T17">
            <v>575.1334839487962</v>
          </cell>
          <cell r="U17">
            <v>135.1104542203534</v>
          </cell>
          <cell r="V17">
            <v>18311.565104663259</v>
          </cell>
          <cell r="W17">
            <v>0</v>
          </cell>
          <cell r="X17">
            <v>12146.877573337626</v>
          </cell>
          <cell r="Y17">
            <v>5591.9049031036875</v>
          </cell>
          <cell r="Z17">
            <v>6164.6448934502669</v>
          </cell>
        </row>
        <row r="24">
          <cell r="D24">
            <v>2693.8532356490723</v>
          </cell>
          <cell r="E24">
            <v>448.14190139170313</v>
          </cell>
          <cell r="F24">
            <v>1393.8751602738751</v>
          </cell>
          <cell r="G24">
            <v>363313.78804273024</v>
          </cell>
          <cell r="H24">
            <v>41501.789832873619</v>
          </cell>
          <cell r="I24">
            <v>113.49785395708888</v>
          </cell>
          <cell r="J24">
            <v>637.1835753320388</v>
          </cell>
          <cell r="K24">
            <v>761.66994830619331</v>
          </cell>
          <cell r="L24">
            <v>213.59874637282371</v>
          </cell>
          <cell r="M24">
            <v>44072.130524987595</v>
          </cell>
          <cell r="N24">
            <v>1384.5860079365721</v>
          </cell>
          <cell r="O24">
            <v>246844.11284206525</v>
          </cell>
          <cell r="Q24">
            <v>70996.058001716447</v>
          </cell>
          <cell r="R24">
            <v>0</v>
          </cell>
          <cell r="S24">
            <v>0</v>
          </cell>
          <cell r="T24">
            <v>0</v>
          </cell>
          <cell r="U24">
            <v>0</v>
          </cell>
          <cell r="V24">
            <v>0</v>
          </cell>
          <cell r="W24">
            <v>0</v>
          </cell>
          <cell r="X24">
            <v>0</v>
          </cell>
          <cell r="Y24">
            <v>0</v>
          </cell>
          <cell r="Z24">
            <v>0</v>
          </cell>
        </row>
        <row r="25">
          <cell r="D25">
            <v>219.54399708521839</v>
          </cell>
          <cell r="E25">
            <v>36.247840984461149</v>
          </cell>
          <cell r="F25">
            <v>112.74323275964814</v>
          </cell>
          <cell r="G25">
            <v>2016.4981629742963</v>
          </cell>
          <cell r="H25">
            <v>3420.9800000037562</v>
          </cell>
          <cell r="I25">
            <v>139.6031031886009</v>
          </cell>
          <cell r="J25">
            <v>0</v>
          </cell>
          <cell r="K25">
            <v>0</v>
          </cell>
          <cell r="L25">
            <v>0</v>
          </cell>
          <cell r="M25">
            <v>1772.2625920416097</v>
          </cell>
          <cell r="N25">
            <v>111.97076989117582</v>
          </cell>
          <cell r="O25">
            <v>12624.265800834009</v>
          </cell>
          <cell r="Q25">
            <v>55.138630446061271</v>
          </cell>
          <cell r="R25">
            <v>0</v>
          </cell>
          <cell r="S25">
            <v>0</v>
          </cell>
          <cell r="T25">
            <v>0</v>
          </cell>
          <cell r="U25">
            <v>0</v>
          </cell>
          <cell r="V25">
            <v>0</v>
          </cell>
          <cell r="W25">
            <v>0</v>
          </cell>
          <cell r="X25">
            <v>0</v>
          </cell>
          <cell r="Y25">
            <v>0</v>
          </cell>
          <cell r="Z25">
            <v>0</v>
          </cell>
        </row>
        <row r="31">
          <cell r="D31">
            <v>0.12019781452784206</v>
          </cell>
          <cell r="E31">
            <v>2.8292067478705675E-3</v>
          </cell>
          <cell r="F31">
            <v>0.40897734889520565</v>
          </cell>
          <cell r="G31">
            <v>3.3728396476980158E-2</v>
          </cell>
          <cell r="H31">
            <v>6.5060767427748225E-5</v>
          </cell>
          <cell r="I31">
            <v>8.1932469064589797E-4</v>
          </cell>
          <cell r="J31">
            <v>1.5432756366588923E-3</v>
          </cell>
          <cell r="K31">
            <v>1.6158706067368616E-3</v>
          </cell>
          <cell r="L31">
            <v>1.009470672128864E-3</v>
          </cell>
          <cell r="M31">
            <v>4.4646707732534485E-2</v>
          </cell>
          <cell r="N31">
            <v>1.6522972900271247E-2</v>
          </cell>
          <cell r="O31">
            <v>6.7409156473799033E-3</v>
          </cell>
        </row>
        <row r="32">
          <cell r="D32">
            <v>0</v>
          </cell>
          <cell r="E32">
            <v>0</v>
          </cell>
          <cell r="F32">
            <v>8.2706922777357795E-6</v>
          </cell>
          <cell r="G32">
            <v>0</v>
          </cell>
          <cell r="H32">
            <v>1.5134560158033571E-2</v>
          </cell>
          <cell r="I32">
            <v>0</v>
          </cell>
          <cell r="J32">
            <v>0</v>
          </cell>
          <cell r="K32">
            <v>0</v>
          </cell>
          <cell r="L32">
            <v>0</v>
          </cell>
          <cell r="M32">
            <v>0</v>
          </cell>
          <cell r="N32">
            <v>6.4711371571202145E-2</v>
          </cell>
          <cell r="O32">
            <v>0</v>
          </cell>
        </row>
        <row r="33">
          <cell r="D33">
            <v>2.1957639115277129E-2</v>
          </cell>
          <cell r="E33">
            <v>0</v>
          </cell>
          <cell r="F33">
            <v>8.9123561812953361E-2</v>
          </cell>
          <cell r="G33">
            <v>2.1072321723060526E-2</v>
          </cell>
          <cell r="H33">
            <v>0</v>
          </cell>
          <cell r="I33">
            <v>0</v>
          </cell>
          <cell r="J33">
            <v>0</v>
          </cell>
          <cell r="K33">
            <v>0</v>
          </cell>
          <cell r="L33">
            <v>0</v>
          </cell>
          <cell r="M33">
            <v>1.2912046479836013E-2</v>
          </cell>
          <cell r="N33">
            <v>0</v>
          </cell>
          <cell r="O33">
            <v>1.791441360869396E-3</v>
          </cell>
        </row>
        <row r="34">
          <cell r="D34">
            <v>9.0271245506951918E-3</v>
          </cell>
          <cell r="E34">
            <v>2.3353650315344622E-2</v>
          </cell>
          <cell r="F34">
            <v>1.1155874647569652E-2</v>
          </cell>
          <cell r="G34">
            <v>5.9884911108948884E-2</v>
          </cell>
          <cell r="H34">
            <v>3.1176741679756478E-2</v>
          </cell>
          <cell r="I34">
            <v>0.3169200800199985</v>
          </cell>
          <cell r="J34">
            <v>0</v>
          </cell>
          <cell r="K34">
            <v>0</v>
          </cell>
          <cell r="L34">
            <v>0</v>
          </cell>
          <cell r="M34">
            <v>1.6663627365731175E-2</v>
          </cell>
          <cell r="N34">
            <v>1.7929271686970005E-2</v>
          </cell>
          <cell r="O34">
            <v>8.9613421764472637E-3</v>
          </cell>
        </row>
        <row r="35">
          <cell r="D35">
            <v>4.4667308399727905E-3</v>
          </cell>
          <cell r="E35">
            <v>4.0702110322209474E-2</v>
          </cell>
          <cell r="F35">
            <v>1.53857146605454E-2</v>
          </cell>
          <cell r="G35">
            <v>8.7085763712260761E-2</v>
          </cell>
          <cell r="H35">
            <v>0.12536931758895856</v>
          </cell>
          <cell r="I35">
            <v>6.5640120277580868E-3</v>
          </cell>
          <cell r="J35">
            <v>1.2363938200360034E-2</v>
          </cell>
          <cell r="K35">
            <v>1.2945532118115497E-2</v>
          </cell>
          <cell r="L35">
            <v>8.0873647641441053E-3</v>
          </cell>
          <cell r="M35">
            <v>3.3238860645421635E-2</v>
          </cell>
          <cell r="N35">
            <v>9.047165971599859E-2</v>
          </cell>
          <cell r="O35">
            <v>7.229380486490463E-3</v>
          </cell>
        </row>
        <row r="36">
          <cell r="D36">
            <v>1.4577347599063138E-4</v>
          </cell>
          <cell r="E36">
            <v>3.7391299842101339E-3</v>
          </cell>
          <cell r="F36">
            <v>2.2098880464204863E-4</v>
          </cell>
          <cell r="G36">
            <v>2.639607891884934E-4</v>
          </cell>
          <cell r="H36">
            <v>1.5425254797962358E-3</v>
          </cell>
          <cell r="I36">
            <v>6.1184107471551844E-3</v>
          </cell>
          <cell r="J36">
            <v>0</v>
          </cell>
          <cell r="K36">
            <v>0</v>
          </cell>
          <cell r="L36">
            <v>0</v>
          </cell>
          <cell r="M36">
            <v>1.1188898743081373E-4</v>
          </cell>
          <cell r="N36">
            <v>8.2436580486594185E-5</v>
          </cell>
          <cell r="O36">
            <v>6.0078723472257989E-4</v>
          </cell>
        </row>
        <row r="37">
          <cell r="D37">
            <v>8.18380800886396E-4</v>
          </cell>
          <cell r="E37">
            <v>2.0991693929922412E-2</v>
          </cell>
          <cell r="F37">
            <v>1.2406440451588753E-3</v>
          </cell>
          <cell r="G37">
            <v>1.4818912740515817E-3</v>
          </cell>
          <cell r="H37">
            <v>8.6598280583255523E-3</v>
          </cell>
          <cell r="I37">
            <v>0</v>
          </cell>
          <cell r="J37">
            <v>1.1524605994374222E-2</v>
          </cell>
          <cell r="K37">
            <v>0</v>
          </cell>
          <cell r="L37">
            <v>0</v>
          </cell>
          <cell r="M37">
            <v>6.2815130476742004E-4</v>
          </cell>
          <cell r="N37">
            <v>4.6280377347447373E-4</v>
          </cell>
          <cell r="O37">
            <v>3.3728545949345901E-3</v>
          </cell>
        </row>
        <row r="38">
          <cell r="D38">
            <v>9.7826762402200909E-4</v>
          </cell>
          <cell r="E38">
            <v>2.5092835172550766E-2</v>
          </cell>
          <cell r="F38">
            <v>1.4830283176243582E-3</v>
          </cell>
          <cell r="G38">
            <v>1.7714079486654865E-3</v>
          </cell>
          <cell r="H38">
            <v>1.0351696190675006E-2</v>
          </cell>
          <cell r="I38">
            <v>0</v>
          </cell>
          <cell r="J38">
            <v>0</v>
          </cell>
          <cell r="K38">
            <v>1.2066718114496356E-2</v>
          </cell>
          <cell r="L38">
            <v>0</v>
          </cell>
          <cell r="M38">
            <v>7.5087304562323294E-4</v>
          </cell>
          <cell r="N38">
            <v>5.5322161440605653E-4</v>
          </cell>
          <cell r="O38">
            <v>4.031808233018905E-3</v>
          </cell>
        </row>
        <row r="39">
          <cell r="D39">
            <v>2.7434026847573728E-4</v>
          </cell>
          <cell r="E39">
            <v>7.0369037766501059E-3</v>
          </cell>
          <cell r="F39">
            <v>4.1589272385552658E-4</v>
          </cell>
          <cell r="G39">
            <v>4.9676440299532116E-4</v>
          </cell>
          <cell r="H39">
            <v>2.9029756708632082E-3</v>
          </cell>
          <cell r="I39">
            <v>0</v>
          </cell>
          <cell r="J39">
            <v>0</v>
          </cell>
          <cell r="K39">
            <v>0</v>
          </cell>
          <cell r="L39">
            <v>7.5383499115865811E-3</v>
          </cell>
          <cell r="M39">
            <v>2.1057091931608052E-4</v>
          </cell>
          <cell r="N39">
            <v>1.5514258317039412E-4</v>
          </cell>
          <cell r="O39">
            <v>1.130659265346606E-3</v>
          </cell>
        </row>
        <row r="40">
          <cell r="D40">
            <v>5.1754176697687516E-3</v>
          </cell>
          <cell r="E40">
            <v>3.4667669640997233E-2</v>
          </cell>
          <cell r="F40">
            <v>1.4828733171560773E-2</v>
          </cell>
          <cell r="G40">
            <v>2.4260823507194666E-2</v>
          </cell>
          <cell r="H40">
            <v>1.0332840542048433E-3</v>
          </cell>
          <cell r="I40">
            <v>4.9707680485516371E-3</v>
          </cell>
          <cell r="J40">
            <v>9.3629123013059933E-3</v>
          </cell>
          <cell r="K40">
            <v>9.803339352838716E-3</v>
          </cell>
          <cell r="L40">
            <v>6.1243663473785773E-3</v>
          </cell>
          <cell r="M40">
            <v>0.17622824126615413</v>
          </cell>
          <cell r="N40">
            <v>5.6963616731105997E-2</v>
          </cell>
          <cell r="O40">
            <v>2.7230581060080455E-2</v>
          </cell>
        </row>
        <row r="41">
          <cell r="D41">
            <v>5.9123572353334082E-3</v>
          </cell>
          <cell r="E41">
            <v>2.0826820413367424E-3</v>
          </cell>
          <cell r="F41">
            <v>4.2234745317697517E-4</v>
          </cell>
          <cell r="G41">
            <v>1.1501794517617804E-3</v>
          </cell>
          <cell r="H41">
            <v>0</v>
          </cell>
          <cell r="I41">
            <v>2.2807614420743336E-2</v>
          </cell>
          <cell r="J41">
            <v>4.2960301413710864E-2</v>
          </cell>
          <cell r="K41">
            <v>4.4981134064461914E-2</v>
          </cell>
          <cell r="L41">
            <v>2.8100725050545637E-2</v>
          </cell>
          <cell r="M41">
            <v>1.2328262049202831E-4</v>
          </cell>
          <cell r="N41">
            <v>1.0991577820763028E-2</v>
          </cell>
          <cell r="O41">
            <v>3.1222806653940652E-3</v>
          </cell>
        </row>
        <row r="42">
          <cell r="D42">
            <v>4.756539553045936E-2</v>
          </cell>
          <cell r="E42">
            <v>0.13315963562756428</v>
          </cell>
          <cell r="F42">
            <v>8.9126569393912947E-2</v>
          </cell>
          <cell r="G42">
            <v>0.17721878050312362</v>
          </cell>
          <cell r="H42">
            <v>2.1128446380433603E-2</v>
          </cell>
          <cell r="I42">
            <v>6.2088572766656705E-2</v>
          </cell>
          <cell r="J42">
            <v>0.11694970597086055</v>
          </cell>
          <cell r="K42">
            <v>0.12245096589093694</v>
          </cell>
          <cell r="L42">
            <v>7.649786952333755E-2</v>
          </cell>
          <cell r="M42">
            <v>6.9831008559509258E-2</v>
          </cell>
          <cell r="N42">
            <v>7.8368080810915633E-2</v>
          </cell>
          <cell r="O42">
            <v>0.27210232165668397</v>
          </cell>
        </row>
        <row r="44">
          <cell r="D44">
            <v>7.3616674280991917E-2</v>
          </cell>
          <cell r="E44">
            <v>0.19231377219679516</v>
          </cell>
          <cell r="F44">
            <v>6.6409078502385921E-2</v>
          </cell>
          <cell r="G44">
            <v>3.9011911651149096E-2</v>
          </cell>
          <cell r="H44">
            <v>7.0859383794590364E-2</v>
          </cell>
          <cell r="I44">
            <v>0.37730639521857473</v>
          </cell>
          <cell r="J44">
            <v>0.26500108056753313</v>
          </cell>
          <cell r="K44">
            <v>2.0492203652345969E-2</v>
          </cell>
          <cell r="L44">
            <v>2.6297717509479847E-3</v>
          </cell>
          <cell r="M44">
            <v>0.1357121265697461</v>
          </cell>
          <cell r="N44">
            <v>0.17873425938418136</v>
          </cell>
          <cell r="O44">
            <v>0.26619722637970539</v>
          </cell>
        </row>
        <row r="45">
          <cell r="D45">
            <v>0.6314694460762823</v>
          </cell>
          <cell r="E45">
            <v>0.31657902559857309</v>
          </cell>
          <cell r="F45">
            <v>0.13907500517392907</v>
          </cell>
          <cell r="G45">
            <v>0.16269336137106111</v>
          </cell>
          <cell r="H45">
            <v>0.39921159890603458</v>
          </cell>
          <cell r="I45">
            <v>9.0231641643826813E-2</v>
          </cell>
          <cell r="J45">
            <v>0.32900537292681931</v>
          </cell>
          <cell r="K45">
            <v>0.29147110927922176</v>
          </cell>
          <cell r="L45">
            <v>0.73180614589347515</v>
          </cell>
          <cell r="M45">
            <v>0.21822949090166405</v>
          </cell>
          <cell r="N45">
            <v>0.19010448972287963</v>
          </cell>
          <cell r="O45">
            <v>0.30516661062950229</v>
          </cell>
        </row>
        <row r="46">
          <cell r="D46">
            <v>1.4674915115756196E-2</v>
          </cell>
          <cell r="E46">
            <v>1.9380766494819134E-2</v>
          </cell>
          <cell r="F46">
            <v>2.1871906558403788E-2</v>
          </cell>
          <cell r="G46">
            <v>1.5126489852942494E-2</v>
          </cell>
          <cell r="H46">
            <v>1.5958783472328406E-2</v>
          </cell>
          <cell r="I46">
            <v>1.6901917506016238E-2</v>
          </cell>
          <cell r="J46">
            <v>3.183636206458057E-2</v>
          </cell>
          <cell r="K46">
            <v>0.14604372905647162</v>
          </cell>
          <cell r="L46">
            <v>2.0824454846605864E-2</v>
          </cell>
          <cell r="M46">
            <v>1.6094519026997874E-2</v>
          </cell>
          <cell r="N46">
            <v>1.5955885068305916E-2</v>
          </cell>
          <cell r="O46">
            <v>1.7839817479694906E-2</v>
          </cell>
        </row>
        <row r="47">
          <cell r="D47">
            <v>6.3719722888245706E-2</v>
          </cell>
          <cell r="E47">
            <v>0.17807091815115636</v>
          </cell>
          <cell r="F47">
            <v>0.14025503514679805</v>
          </cell>
          <cell r="G47">
            <v>0.37475303622661632</v>
          </cell>
          <cell r="H47">
            <v>0.29660579779857221</v>
          </cell>
          <cell r="I47">
            <v>9.5271262910073012E-2</v>
          </cell>
          <cell r="J47">
            <v>0.17945244492379644</v>
          </cell>
          <cell r="K47">
            <v>0.33812939786437424</v>
          </cell>
          <cell r="L47">
            <v>0.11738148123984962</v>
          </cell>
          <cell r="M47">
            <v>0.27461860457477572</v>
          </cell>
          <cell r="N47">
            <v>0.27799321003586885</v>
          </cell>
          <cell r="O47">
            <v>7.4481973129729429E-2</v>
          </cell>
        </row>
        <row r="49">
          <cell r="D49">
            <v>8.0587105199919115E-2</v>
          </cell>
          <cell r="E49">
            <v>0.43200669137477538</v>
          </cell>
          <cell r="F49">
            <v>0.19350587153953724</v>
          </cell>
          <cell r="G49">
            <v>90.231762247278013</v>
          </cell>
          <cell r="H49">
            <v>9.3953608301160259</v>
          </cell>
          <cell r="I49">
            <v>0.65794529139777402</v>
          </cell>
          <cell r="J49">
            <v>1.2393022571651746</v>
          </cell>
          <cell r="K49">
            <v>1.2975984604741571</v>
          </cell>
          <cell r="L49">
            <v>0.81063891167217483</v>
          </cell>
          <cell r="M49">
            <v>5.0927562276745695</v>
          </cell>
          <cell r="N49">
            <v>0.11798940460017109</v>
          </cell>
          <cell r="O49">
            <v>3.2298769110643804</v>
          </cell>
        </row>
        <row r="50">
          <cell r="D50">
            <v>6.5676982528167765E-3</v>
          </cell>
          <cell r="E50">
            <v>3.4942748724335101E-2</v>
          </cell>
          <cell r="F50">
            <v>1.5651672500609035E-2</v>
          </cell>
          <cell r="G50">
            <v>0.50081276516863082</v>
          </cell>
          <cell r="H50">
            <v>0.77445675528881452</v>
          </cell>
          <cell r="I50">
            <v>0.80927701454323986</v>
          </cell>
          <cell r="J50">
            <v>0</v>
          </cell>
          <cell r="K50">
            <v>0</v>
          </cell>
          <cell r="L50">
            <v>0</v>
          </cell>
          <cell r="M50">
            <v>0.20479385146985979</v>
          </cell>
          <cell r="N50">
            <v>9.541743449922117E-3</v>
          </cell>
          <cell r="O50">
            <v>0.16518451325327665</v>
          </cell>
        </row>
      </sheetData>
      <sheetData sheetId="1">
        <row r="7">
          <cell r="D7" t="str">
            <v>Agriculture</v>
          </cell>
        </row>
      </sheetData>
      <sheetData sheetId="2"/>
      <sheetData sheetId="3"/>
      <sheetData sheetId="4"/>
      <sheetData sheetId="5">
        <row r="5">
          <cell r="B5">
            <v>0</v>
          </cell>
        </row>
        <row r="6">
          <cell r="B6">
            <v>6.9154383773208889E-8</v>
          </cell>
        </row>
        <row r="7">
          <cell r="B7">
            <v>0.49999993535568471</v>
          </cell>
        </row>
        <row r="8">
          <cell r="B8">
            <v>0.49999999548993151</v>
          </cell>
        </row>
      </sheetData>
      <sheetData sheetId="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ourworldindata.org/co2-emiss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FC9C4-6DC0-AF47-8007-C814D634EE89}">
  <dimension ref="A1:N37"/>
  <sheetViews>
    <sheetView showGridLines="0" zoomScale="145" zoomScaleNormal="145" workbookViewId="0">
      <pane xSplit="2" ySplit="3" topLeftCell="C7" activePane="bottomRight" state="frozen"/>
      <selection pane="topRight" activeCell="C1" sqref="C1"/>
      <selection pane="bottomLeft" activeCell="A4" sqref="A4"/>
      <selection pane="bottomRight" activeCell="C35" sqref="C35:E37"/>
    </sheetView>
  </sheetViews>
  <sheetFormatPr defaultColWidth="8.77734375" defaultRowHeight="14.4"/>
  <cols>
    <col min="1" max="1" width="15.109375" customWidth="1"/>
    <col min="2" max="2" width="11.77734375" bestFit="1" customWidth="1"/>
  </cols>
  <sheetData>
    <row r="1" spans="1:14">
      <c r="A1" s="4" t="s">
        <v>31</v>
      </c>
      <c r="B1" s="5"/>
      <c r="C1" s="5"/>
      <c r="D1" s="5"/>
      <c r="E1" s="5"/>
      <c r="F1" s="5"/>
      <c r="G1" s="5"/>
      <c r="H1" s="5"/>
      <c r="I1" s="5"/>
      <c r="J1" s="5"/>
      <c r="K1" s="5"/>
      <c r="L1" s="5"/>
      <c r="M1" s="5"/>
      <c r="N1" s="5"/>
    </row>
    <row r="2" spans="1:14">
      <c r="A2" s="5"/>
      <c r="B2" s="5"/>
      <c r="C2" s="5"/>
      <c r="D2" s="5"/>
      <c r="E2" s="5"/>
      <c r="F2" s="5"/>
      <c r="G2" s="5"/>
      <c r="H2" s="5"/>
      <c r="I2" s="5"/>
      <c r="J2" s="5"/>
      <c r="K2" s="5"/>
      <c r="L2" s="5"/>
      <c r="M2" s="5"/>
      <c r="N2" s="5"/>
    </row>
    <row r="3" spans="1:14">
      <c r="A3" s="5"/>
      <c r="B3" s="5"/>
      <c r="C3" s="5"/>
      <c r="D3" s="5"/>
      <c r="E3" s="5"/>
      <c r="F3" s="5"/>
      <c r="G3" s="5"/>
      <c r="H3" s="5"/>
      <c r="I3" s="5"/>
      <c r="J3" s="5"/>
      <c r="K3" s="5"/>
      <c r="L3" s="5"/>
      <c r="M3" s="5"/>
      <c r="N3" s="5"/>
    </row>
    <row r="4" spans="1:14">
      <c r="A4" s="5" t="s">
        <v>6</v>
      </c>
      <c r="B4" s="5" t="s">
        <v>32</v>
      </c>
      <c r="C4" s="6">
        <v>2</v>
      </c>
      <c r="D4" s="7">
        <v>5</v>
      </c>
      <c r="E4" s="8">
        <v>9</v>
      </c>
      <c r="F4" s="5"/>
      <c r="G4" s="5"/>
      <c r="H4" s="5"/>
      <c r="I4" s="5"/>
      <c r="J4" s="5"/>
      <c r="K4" s="5"/>
      <c r="L4" s="5"/>
      <c r="M4" s="5"/>
      <c r="N4" s="5"/>
    </row>
    <row r="5" spans="1:14">
      <c r="A5" s="5"/>
      <c r="B5" s="5"/>
      <c r="C5" s="9">
        <v>3</v>
      </c>
      <c r="D5" s="5">
        <v>4</v>
      </c>
      <c r="E5" s="10">
        <v>5</v>
      </c>
      <c r="F5" s="5"/>
      <c r="G5" s="5"/>
      <c r="H5" s="5"/>
      <c r="I5" s="5"/>
      <c r="J5" s="5"/>
      <c r="K5" s="5"/>
      <c r="L5" s="5"/>
      <c r="M5" s="5"/>
      <c r="N5" s="5"/>
    </row>
    <row r="6" spans="1:14">
      <c r="A6" s="5"/>
      <c r="B6" s="5"/>
      <c r="C6" s="11">
        <v>7</v>
      </c>
      <c r="D6" s="12">
        <v>8</v>
      </c>
      <c r="E6" s="13">
        <v>2</v>
      </c>
      <c r="F6" s="5"/>
      <c r="G6" s="5"/>
      <c r="H6" s="5"/>
      <c r="I6" s="5"/>
      <c r="J6" s="5"/>
      <c r="K6" s="5"/>
      <c r="L6" s="5"/>
      <c r="M6" s="5"/>
      <c r="N6" s="5"/>
    </row>
    <row r="7" spans="1:14">
      <c r="A7" s="5"/>
      <c r="B7" s="5"/>
      <c r="C7" s="5"/>
      <c r="D7" s="5"/>
      <c r="E7" s="5"/>
      <c r="F7" s="5"/>
      <c r="G7" s="5"/>
      <c r="H7" s="5"/>
      <c r="I7" s="5"/>
      <c r="J7" s="5"/>
      <c r="K7" s="5"/>
      <c r="L7" s="5"/>
      <c r="M7" s="5"/>
      <c r="N7" s="5"/>
    </row>
    <row r="8" spans="1:14">
      <c r="A8" s="5" t="s">
        <v>7</v>
      </c>
      <c r="B8" s="5" t="s">
        <v>33</v>
      </c>
      <c r="C8" s="6">
        <f t="array" ref="C8:E10">_xlfn.MUNIT(3)</f>
        <v>1</v>
      </c>
      <c r="D8" s="7">
        <v>0</v>
      </c>
      <c r="E8" s="8">
        <v>0</v>
      </c>
      <c r="F8" s="5"/>
      <c r="G8" s="5"/>
      <c r="H8" s="5"/>
      <c r="I8" s="5"/>
      <c r="J8" s="5"/>
      <c r="K8" s="5"/>
      <c r="L8" s="5"/>
      <c r="M8" s="5"/>
      <c r="N8" s="5"/>
    </row>
    <row r="9" spans="1:14">
      <c r="A9" s="5"/>
      <c r="B9" s="5"/>
      <c r="C9" s="9">
        <v>0</v>
      </c>
      <c r="D9" s="5">
        <v>1</v>
      </c>
      <c r="E9" s="10">
        <v>0</v>
      </c>
      <c r="F9" s="5"/>
      <c r="G9" s="14" t="s">
        <v>34</v>
      </c>
      <c r="H9" s="5"/>
      <c r="I9" s="5"/>
      <c r="J9" s="5"/>
      <c r="K9" s="5"/>
      <c r="L9" s="5"/>
      <c r="M9" s="5"/>
      <c r="N9" s="5"/>
    </row>
    <row r="10" spans="1:14">
      <c r="A10" s="5"/>
      <c r="B10" s="5"/>
      <c r="C10" s="11">
        <v>0</v>
      </c>
      <c r="D10" s="12">
        <v>0</v>
      </c>
      <c r="E10" s="13">
        <v>1</v>
      </c>
      <c r="F10" s="5"/>
      <c r="G10" s="15" t="s">
        <v>35</v>
      </c>
      <c r="H10" s="5"/>
      <c r="I10" s="5"/>
      <c r="J10" s="5"/>
      <c r="K10" s="5"/>
      <c r="L10" s="5"/>
      <c r="M10" s="5"/>
      <c r="N10" s="5"/>
    </row>
    <row r="11" spans="1:14">
      <c r="A11" s="5"/>
      <c r="B11" s="5"/>
      <c r="C11" s="5"/>
      <c r="D11" s="5"/>
      <c r="E11" s="5"/>
      <c r="F11" s="5"/>
      <c r="G11" s="5"/>
      <c r="H11" s="5"/>
      <c r="I11" s="5"/>
      <c r="J11" s="5"/>
      <c r="K11" s="5"/>
      <c r="L11" s="5"/>
      <c r="M11" s="5"/>
      <c r="N11" s="5"/>
    </row>
    <row r="12" spans="1:14">
      <c r="A12" s="5" t="s">
        <v>8</v>
      </c>
      <c r="B12" s="5" t="s">
        <v>36</v>
      </c>
      <c r="C12" s="16">
        <v>4</v>
      </c>
      <c r="D12" s="5"/>
      <c r="E12" s="5"/>
      <c r="F12" s="5"/>
      <c r="G12" s="5"/>
      <c r="H12" s="5"/>
      <c r="I12" s="5"/>
      <c r="J12" s="5"/>
      <c r="K12" s="5"/>
      <c r="L12" s="5"/>
      <c r="M12" s="5"/>
      <c r="N12" s="5"/>
    </row>
    <row r="13" spans="1:14">
      <c r="A13" s="5"/>
      <c r="B13" s="5"/>
      <c r="C13" s="17">
        <v>9</v>
      </c>
      <c r="D13" s="5"/>
      <c r="E13" s="5"/>
      <c r="F13" s="5"/>
      <c r="G13" s="5"/>
      <c r="H13" s="5"/>
      <c r="I13" s="5"/>
      <c r="J13" s="5"/>
      <c r="K13" s="5"/>
      <c r="L13" s="5"/>
      <c r="M13" s="5"/>
      <c r="N13" s="5"/>
    </row>
    <row r="14" spans="1:14">
      <c r="A14" s="5"/>
      <c r="B14" s="5"/>
      <c r="C14" s="18">
        <v>3</v>
      </c>
      <c r="D14" s="5"/>
      <c r="E14" s="5"/>
      <c r="F14" s="5"/>
      <c r="G14" s="5"/>
      <c r="H14" s="5"/>
      <c r="I14" s="5"/>
      <c r="J14" s="5"/>
      <c r="K14" s="5"/>
      <c r="L14" s="5"/>
      <c r="M14" s="5"/>
      <c r="N14" s="5"/>
    </row>
    <row r="15" spans="1:14">
      <c r="A15" s="5"/>
      <c r="B15" s="5"/>
      <c r="C15" s="5"/>
      <c r="D15" s="5"/>
      <c r="E15" s="5"/>
      <c r="F15" s="5"/>
      <c r="G15" s="5"/>
      <c r="H15" s="5"/>
      <c r="I15" s="5"/>
      <c r="J15" s="5"/>
      <c r="K15" s="5"/>
      <c r="L15" s="5"/>
      <c r="M15" s="5"/>
      <c r="N15" s="5"/>
    </row>
    <row r="16" spans="1:14">
      <c r="A16" s="5"/>
      <c r="B16" s="5"/>
      <c r="C16" s="5"/>
      <c r="D16" s="5"/>
      <c r="E16" s="5"/>
      <c r="F16" s="5"/>
      <c r="G16" s="5"/>
      <c r="H16" s="5"/>
      <c r="I16" s="5"/>
      <c r="J16" s="5"/>
      <c r="K16" s="5"/>
      <c r="L16" s="5"/>
      <c r="M16" s="5"/>
      <c r="N16" s="5"/>
    </row>
    <row r="17" spans="1:14">
      <c r="A17" s="19" t="s">
        <v>9</v>
      </c>
      <c r="B17" s="19" t="s">
        <v>10</v>
      </c>
      <c r="C17" s="19" t="s">
        <v>11</v>
      </c>
      <c r="D17" s="19"/>
      <c r="E17" s="19"/>
      <c r="F17" s="19"/>
      <c r="G17" s="19" t="s">
        <v>12</v>
      </c>
      <c r="H17" s="19"/>
      <c r="I17" s="19"/>
      <c r="J17" s="19"/>
      <c r="K17" s="19"/>
      <c r="L17" s="19"/>
      <c r="M17" s="19"/>
      <c r="N17" s="19"/>
    </row>
    <row r="18" spans="1:14">
      <c r="A18" s="5"/>
      <c r="B18" s="5"/>
      <c r="C18" s="5"/>
      <c r="D18" s="5"/>
      <c r="E18" s="5"/>
      <c r="F18" s="5"/>
      <c r="G18" s="5"/>
      <c r="H18" s="5"/>
      <c r="I18" s="5"/>
      <c r="J18" s="5"/>
      <c r="K18" s="5"/>
      <c r="L18" s="5"/>
      <c r="M18" s="5"/>
      <c r="N18" s="5"/>
    </row>
    <row r="19" spans="1:14">
      <c r="A19" s="5" t="s">
        <v>13</v>
      </c>
      <c r="B19" s="5" t="s">
        <v>37</v>
      </c>
      <c r="C19" s="6"/>
      <c r="D19" s="7"/>
      <c r="E19" s="8"/>
      <c r="F19" s="5"/>
      <c r="G19" s="5" t="s">
        <v>14</v>
      </c>
      <c r="H19" s="5"/>
      <c r="I19" s="5"/>
      <c r="J19" s="5"/>
      <c r="K19" s="5"/>
      <c r="L19" s="5"/>
      <c r="M19" s="5"/>
      <c r="N19" s="5"/>
    </row>
    <row r="20" spans="1:14">
      <c r="A20" s="5"/>
      <c r="B20" s="5"/>
      <c r="C20" s="9"/>
      <c r="D20" s="5"/>
      <c r="E20" s="10"/>
      <c r="F20" s="5"/>
      <c r="G20" s="5"/>
      <c r="H20" s="5"/>
      <c r="I20" s="5"/>
      <c r="J20" s="5"/>
      <c r="K20" s="5"/>
      <c r="L20" s="5"/>
      <c r="M20" s="5"/>
      <c r="N20" s="5"/>
    </row>
    <row r="21" spans="1:14">
      <c r="A21" s="5"/>
      <c r="B21" s="5"/>
      <c r="C21" s="11"/>
      <c r="D21" s="12"/>
      <c r="E21" s="13"/>
      <c r="F21" s="5"/>
      <c r="G21" s="5"/>
      <c r="H21" s="5"/>
      <c r="I21" s="5"/>
      <c r="J21" s="5"/>
      <c r="K21" s="5"/>
      <c r="L21" s="5"/>
      <c r="M21" s="5"/>
      <c r="N21" s="5"/>
    </row>
    <row r="22" spans="1:14">
      <c r="A22" s="5"/>
      <c r="B22" s="5"/>
      <c r="C22" s="5"/>
      <c r="D22" s="5"/>
      <c r="E22" s="5"/>
      <c r="F22" s="5"/>
      <c r="G22" s="5"/>
      <c r="H22" s="5"/>
      <c r="I22" s="5"/>
      <c r="J22" s="5"/>
      <c r="K22" s="5"/>
      <c r="L22" s="5"/>
      <c r="M22" s="5"/>
      <c r="N22" s="5"/>
    </row>
    <row r="23" spans="1:14">
      <c r="A23" s="5" t="s">
        <v>15</v>
      </c>
      <c r="B23" s="5" t="s">
        <v>38</v>
      </c>
      <c r="C23" s="20"/>
      <c r="D23" s="21"/>
      <c r="E23" s="22"/>
      <c r="F23" s="5"/>
      <c r="G23" s="5" t="s">
        <v>16</v>
      </c>
      <c r="H23" s="5"/>
      <c r="I23" s="5"/>
      <c r="J23" s="5"/>
      <c r="K23" s="5"/>
      <c r="L23" s="5"/>
      <c r="M23" s="5"/>
      <c r="N23" s="5"/>
    </row>
    <row r="24" spans="1:14">
      <c r="A24" s="5"/>
      <c r="B24" s="5"/>
      <c r="C24" s="23"/>
      <c r="D24" s="24"/>
      <c r="E24" s="25"/>
      <c r="F24" s="5"/>
      <c r="G24" s="14" t="s">
        <v>39</v>
      </c>
      <c r="H24" s="5"/>
      <c r="I24" s="5"/>
      <c r="J24" s="5"/>
      <c r="K24" s="5"/>
      <c r="L24" s="5"/>
      <c r="M24" s="5"/>
      <c r="N24" s="5"/>
    </row>
    <row r="25" spans="1:14">
      <c r="A25" s="5"/>
      <c r="B25" s="5"/>
      <c r="C25" s="26"/>
      <c r="D25" s="27"/>
      <c r="E25" s="28"/>
      <c r="F25" s="5"/>
      <c r="G25" s="15" t="s">
        <v>40</v>
      </c>
      <c r="H25" s="5"/>
      <c r="I25" s="5"/>
      <c r="J25" s="5"/>
      <c r="K25" s="5"/>
      <c r="L25" s="5"/>
      <c r="M25" s="5"/>
      <c r="N25" s="5"/>
    </row>
    <row r="26" spans="1:14">
      <c r="A26" s="5"/>
      <c r="B26" s="5"/>
      <c r="C26" s="5"/>
      <c r="D26" s="5"/>
      <c r="E26" s="5"/>
      <c r="F26" s="5"/>
      <c r="G26" s="5"/>
      <c r="H26" s="5"/>
      <c r="I26" s="5"/>
      <c r="J26" s="5"/>
      <c r="K26" s="5"/>
      <c r="L26" s="5"/>
      <c r="M26" s="5"/>
      <c r="N26" s="5"/>
    </row>
    <row r="27" spans="1:14">
      <c r="A27" s="5" t="s">
        <v>17</v>
      </c>
      <c r="B27" s="44" t="s">
        <v>30</v>
      </c>
      <c r="C27" s="16"/>
      <c r="D27" s="5"/>
      <c r="E27" s="5"/>
      <c r="F27" s="5"/>
      <c r="G27" s="5" t="s">
        <v>18</v>
      </c>
      <c r="H27" s="5"/>
      <c r="I27" s="5"/>
      <c r="J27" s="5"/>
      <c r="K27" s="5"/>
      <c r="L27" s="5"/>
      <c r="M27" s="5"/>
      <c r="N27" s="5"/>
    </row>
    <row r="28" spans="1:14">
      <c r="A28" s="5"/>
      <c r="B28" s="5"/>
      <c r="C28" s="17"/>
      <c r="D28" s="5"/>
      <c r="E28" s="5"/>
      <c r="F28" s="5"/>
      <c r="G28" s="14" t="s">
        <v>41</v>
      </c>
      <c r="H28" s="5"/>
      <c r="I28" s="5"/>
      <c r="J28" s="5"/>
      <c r="K28" s="5"/>
      <c r="L28" s="5"/>
      <c r="M28" s="5"/>
      <c r="N28" s="5"/>
    </row>
    <row r="29" spans="1:14">
      <c r="A29" s="5"/>
      <c r="B29" s="5"/>
      <c r="C29" s="18"/>
      <c r="D29" s="5"/>
      <c r="E29" s="5"/>
      <c r="F29" s="5"/>
      <c r="G29" s="15" t="s">
        <v>42</v>
      </c>
      <c r="H29" s="5"/>
      <c r="I29" s="5"/>
      <c r="J29" s="5"/>
      <c r="K29" s="5"/>
      <c r="L29" s="5"/>
      <c r="M29" s="5"/>
      <c r="N29" s="5"/>
    </row>
    <row r="30" spans="1:14">
      <c r="A30" s="5"/>
      <c r="B30" s="5"/>
      <c r="C30" s="5"/>
      <c r="D30" s="5"/>
      <c r="E30" s="5"/>
      <c r="F30" s="5"/>
      <c r="G30" s="5"/>
      <c r="H30" s="5"/>
      <c r="I30" s="5"/>
      <c r="J30" s="5"/>
      <c r="K30" s="5"/>
      <c r="L30" s="5"/>
      <c r="M30" s="5"/>
      <c r="N30" s="5"/>
    </row>
    <row r="31" spans="1:14">
      <c r="A31" s="5" t="s">
        <v>19</v>
      </c>
      <c r="B31" s="5" t="s">
        <v>43</v>
      </c>
      <c r="C31" s="6"/>
      <c r="D31" s="7"/>
      <c r="E31" s="8"/>
      <c r="F31" s="5"/>
      <c r="G31" s="5" t="s">
        <v>20</v>
      </c>
      <c r="H31" s="5"/>
      <c r="I31" s="5"/>
      <c r="J31" s="5"/>
      <c r="K31" s="5"/>
      <c r="L31" s="5"/>
      <c r="M31" s="5"/>
      <c r="N31" s="5"/>
    </row>
    <row r="32" spans="1:14">
      <c r="A32" s="5"/>
      <c r="B32" s="5"/>
      <c r="C32" s="9"/>
      <c r="D32" s="5"/>
      <c r="E32" s="10"/>
      <c r="F32" s="5"/>
      <c r="G32" s="14" t="s">
        <v>44</v>
      </c>
      <c r="H32" s="5"/>
      <c r="I32" s="5"/>
      <c r="J32" s="5"/>
      <c r="K32" s="5"/>
      <c r="L32" s="5"/>
      <c r="M32" s="5"/>
      <c r="N32" s="5"/>
    </row>
    <row r="33" spans="1:14">
      <c r="A33" s="5"/>
      <c r="B33" s="5"/>
      <c r="C33" s="11"/>
      <c r="D33" s="12"/>
      <c r="E33" s="13"/>
      <c r="F33" s="5"/>
      <c r="G33" s="15" t="s">
        <v>45</v>
      </c>
      <c r="H33" s="5"/>
      <c r="I33" s="5"/>
      <c r="J33" s="5"/>
      <c r="K33" s="5"/>
      <c r="L33" s="5"/>
      <c r="M33" s="5"/>
      <c r="N33" s="5"/>
    </row>
    <row r="34" spans="1:14">
      <c r="A34" s="5"/>
      <c r="B34" s="5"/>
      <c r="C34" s="5"/>
      <c r="D34" s="5"/>
      <c r="E34" s="5"/>
      <c r="F34" s="5"/>
      <c r="G34" s="5"/>
      <c r="H34" s="5"/>
      <c r="I34" s="5"/>
      <c r="J34" s="5"/>
      <c r="K34" s="5"/>
      <c r="L34" s="5"/>
      <c r="M34" s="5"/>
      <c r="N34" s="5"/>
    </row>
    <row r="35" spans="1:14">
      <c r="A35" s="5" t="s">
        <v>21</v>
      </c>
      <c r="B35" s="5" t="s">
        <v>46</v>
      </c>
      <c r="C35" s="6"/>
      <c r="D35" s="7"/>
      <c r="E35" s="8"/>
      <c r="F35" s="5"/>
      <c r="G35" s="5" t="s">
        <v>22</v>
      </c>
      <c r="H35" s="5"/>
      <c r="I35" s="5"/>
      <c r="J35" s="5"/>
      <c r="K35" s="5"/>
      <c r="L35" s="5"/>
      <c r="M35" s="5"/>
      <c r="N35" s="5"/>
    </row>
    <row r="36" spans="1:14">
      <c r="A36" s="5"/>
      <c r="B36" s="5"/>
      <c r="C36" s="9"/>
      <c r="D36" s="5"/>
      <c r="E36" s="10"/>
      <c r="F36" s="5"/>
      <c r="G36" s="14" t="s">
        <v>47</v>
      </c>
      <c r="H36" s="5"/>
      <c r="I36" s="5"/>
      <c r="J36" s="5"/>
      <c r="K36" s="5"/>
      <c r="L36" s="5"/>
      <c r="M36" s="5"/>
      <c r="N36" s="5"/>
    </row>
    <row r="37" spans="1:14">
      <c r="A37" s="5"/>
      <c r="B37" s="5"/>
      <c r="C37" s="11"/>
      <c r="D37" s="12"/>
      <c r="E37" s="13"/>
      <c r="F37" s="5"/>
      <c r="G37" s="15" t="s">
        <v>48</v>
      </c>
      <c r="H37" s="5"/>
      <c r="I37" s="5"/>
      <c r="J37" s="5"/>
      <c r="K37" s="5"/>
      <c r="L37" s="5"/>
      <c r="M37" s="5"/>
      <c r="N37" s="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8E6A-D59A-4411-BF7D-82F6F3E4DD93}">
  <dimension ref="B2:I11"/>
  <sheetViews>
    <sheetView showGridLines="0" zoomScale="217" zoomScaleNormal="190" workbookViewId="0">
      <selection activeCell="L20" sqref="L20"/>
    </sheetView>
  </sheetViews>
  <sheetFormatPr defaultColWidth="8.77734375" defaultRowHeight="14.4"/>
  <cols>
    <col min="2" max="2" width="19.6640625" bestFit="1" customWidth="1"/>
    <col min="4" max="6" width="11.109375" customWidth="1"/>
  </cols>
  <sheetData>
    <row r="2" spans="2:9" ht="15" thickBot="1">
      <c r="B2" s="1" t="s">
        <v>51</v>
      </c>
      <c r="D2" t="s">
        <v>0</v>
      </c>
      <c r="E2" t="s">
        <v>1</v>
      </c>
      <c r="F2" t="s">
        <v>2</v>
      </c>
      <c r="H2" t="s">
        <v>3</v>
      </c>
    </row>
    <row r="3" spans="2:9">
      <c r="C3" s="2" t="s">
        <v>0</v>
      </c>
      <c r="D3" s="42" t="s">
        <v>50</v>
      </c>
      <c r="E3" s="45" t="s">
        <v>49</v>
      </c>
      <c r="F3" s="46"/>
      <c r="G3" s="47"/>
      <c r="H3" s="43" t="s">
        <v>50</v>
      </c>
    </row>
    <row r="4" spans="2:9">
      <c r="C4" t="s">
        <v>1</v>
      </c>
      <c r="D4" s="33"/>
      <c r="F4" s="34"/>
      <c r="H4" s="38"/>
    </row>
    <row r="5" spans="2:9" ht="15" thickBot="1">
      <c r="C5" t="s">
        <v>2</v>
      </c>
      <c r="D5" s="35"/>
      <c r="E5" s="36"/>
      <c r="F5" s="37"/>
      <c r="H5" s="39"/>
    </row>
    <row r="6" spans="2:9" ht="15" thickBot="1">
      <c r="B6" s="48"/>
      <c r="C6" s="48"/>
      <c r="D6" s="48"/>
      <c r="E6" s="48"/>
      <c r="F6" s="48"/>
      <c r="G6" s="48"/>
      <c r="H6" s="48"/>
      <c r="I6" s="48"/>
    </row>
    <row r="7" spans="2:9">
      <c r="B7" s="1"/>
    </row>
    <row r="8" spans="2:9" ht="15" thickBot="1">
      <c r="B8" s="1" t="s">
        <v>52</v>
      </c>
      <c r="D8" t="s">
        <v>0</v>
      </c>
      <c r="E8" s="31" t="s">
        <v>1</v>
      </c>
      <c r="F8" t="s">
        <v>2</v>
      </c>
      <c r="H8" s="32" t="s">
        <v>3</v>
      </c>
    </row>
    <row r="9" spans="2:9" ht="14.55" customHeight="1">
      <c r="C9" t="s">
        <v>0</v>
      </c>
      <c r="D9" s="40"/>
      <c r="E9" s="153" t="s">
        <v>4</v>
      </c>
      <c r="F9" s="41"/>
      <c r="H9" s="156" t="s">
        <v>5</v>
      </c>
    </row>
    <row r="10" spans="2:9">
      <c r="C10" t="s">
        <v>1</v>
      </c>
      <c r="D10" s="33"/>
      <c r="E10" s="154"/>
      <c r="F10" s="34"/>
      <c r="H10" s="157"/>
    </row>
    <row r="11" spans="2:9" ht="15" thickBot="1">
      <c r="C11" t="s">
        <v>2</v>
      </c>
      <c r="D11" s="35"/>
      <c r="E11" s="155"/>
      <c r="F11" s="37"/>
      <c r="H11" s="158"/>
    </row>
  </sheetData>
  <mergeCells count="2">
    <mergeCell ref="E9:E11"/>
    <mergeCell ref="H9:H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3028E-D401-264D-8D00-73ACDC57D49A}">
  <dimension ref="A1:X71"/>
  <sheetViews>
    <sheetView showGridLines="0" zoomScale="136" workbookViewId="0">
      <pane xSplit="3" ySplit="6" topLeftCell="D44" activePane="bottomRight" state="frozen"/>
      <selection activeCell="H23" sqref="H23"/>
      <selection pane="topRight" activeCell="H23" sqref="H23"/>
      <selection pane="bottomLeft" activeCell="H23" sqref="H23"/>
      <selection pane="bottomRight" activeCell="G70" sqref="G70"/>
    </sheetView>
  </sheetViews>
  <sheetFormatPr defaultColWidth="11.5546875" defaultRowHeight="14.4"/>
  <cols>
    <col min="1" max="1" width="12.77734375" customWidth="1"/>
    <col min="2" max="2" width="15.33203125" bestFit="1" customWidth="1"/>
    <col min="3" max="3" width="7.33203125" customWidth="1"/>
    <col min="4" max="5" width="12.6640625" customWidth="1"/>
    <col min="7" max="7" width="13.44140625" bestFit="1" customWidth="1"/>
    <col min="9" max="9" width="11.6640625" bestFit="1" customWidth="1"/>
  </cols>
  <sheetData>
    <row r="1" spans="1:12">
      <c r="A1" s="152" t="s">
        <v>182</v>
      </c>
      <c r="B1" s="152"/>
      <c r="C1" s="152"/>
      <c r="D1" s="152"/>
      <c r="E1" s="152"/>
      <c r="F1" s="152"/>
      <c r="G1" s="152"/>
      <c r="H1" s="152"/>
      <c r="K1" s="51"/>
      <c r="L1" t="s">
        <v>179</v>
      </c>
    </row>
    <row r="2" spans="1:12">
      <c r="A2" s="152"/>
      <c r="B2" s="152"/>
      <c r="C2" s="152"/>
      <c r="D2" s="152"/>
      <c r="E2" s="152"/>
      <c r="F2" s="152"/>
      <c r="G2" s="152"/>
      <c r="H2" s="152"/>
      <c r="K2" s="62"/>
      <c r="L2" t="s">
        <v>180</v>
      </c>
    </row>
    <row r="3" spans="1:12">
      <c r="A3" s="30"/>
      <c r="B3" s="30"/>
      <c r="K3" s="88"/>
      <c r="L3" t="s">
        <v>181</v>
      </c>
    </row>
    <row r="4" spans="1:12">
      <c r="A4" s="1" t="s">
        <v>122</v>
      </c>
      <c r="B4" s="1"/>
      <c r="D4" t="s">
        <v>54</v>
      </c>
      <c r="E4" t="s">
        <v>55</v>
      </c>
      <c r="G4" t="s">
        <v>191</v>
      </c>
    </row>
    <row r="5" spans="1:12">
      <c r="A5" s="1"/>
      <c r="B5" s="1" t="s">
        <v>159</v>
      </c>
    </row>
    <row r="6" spans="1:12">
      <c r="C6" s="1" t="s">
        <v>53</v>
      </c>
      <c r="D6" s="50" t="s">
        <v>184</v>
      </c>
      <c r="E6" s="50" t="s">
        <v>183</v>
      </c>
      <c r="G6" t="s">
        <v>212</v>
      </c>
    </row>
    <row r="7" spans="1:12">
      <c r="A7" s="30" t="s">
        <v>56</v>
      </c>
      <c r="C7" s="1"/>
      <c r="D7" s="50"/>
      <c r="E7" s="50"/>
    </row>
    <row r="8" spans="1:12">
      <c r="C8" s="1"/>
      <c r="D8" s="50"/>
      <c r="E8" s="50"/>
    </row>
    <row r="9" spans="1:12" ht="15" thickBot="1">
      <c r="D9" s="30" t="s">
        <v>158</v>
      </c>
      <c r="G9" s="30" t="s">
        <v>152</v>
      </c>
      <c r="I9" s="30" t="s">
        <v>153</v>
      </c>
      <c r="L9" t="s">
        <v>154</v>
      </c>
    </row>
    <row r="10" spans="1:12" ht="15" thickTop="1">
      <c r="A10" t="s">
        <v>54</v>
      </c>
      <c r="C10" s="50" t="s">
        <v>184</v>
      </c>
      <c r="D10" s="52" t="s">
        <v>185</v>
      </c>
      <c r="E10" s="53" t="s">
        <v>188</v>
      </c>
      <c r="G10" s="59" t="s">
        <v>184</v>
      </c>
      <c r="I10" s="61" t="s">
        <v>185</v>
      </c>
      <c r="J10" s="61" t="s">
        <v>188</v>
      </c>
      <c r="L10" s="61" t="s">
        <v>184</v>
      </c>
    </row>
    <row r="11" spans="1:12" ht="15" thickBot="1">
      <c r="A11" t="s">
        <v>55</v>
      </c>
      <c r="C11" s="50" t="s">
        <v>183</v>
      </c>
      <c r="D11" s="54" t="s">
        <v>186</v>
      </c>
      <c r="E11" s="55" t="s">
        <v>187</v>
      </c>
      <c r="G11" s="60" t="s">
        <v>183</v>
      </c>
      <c r="I11" s="61" t="s">
        <v>186</v>
      </c>
      <c r="J11" s="61" t="s">
        <v>187</v>
      </c>
      <c r="L11" s="61" t="s">
        <v>183</v>
      </c>
    </row>
    <row r="12" spans="1:12" ht="15.6" thickTop="1" thickBot="1">
      <c r="D12" s="30" t="s">
        <v>155</v>
      </c>
    </row>
    <row r="13" spans="1:12" ht="15.6" thickTop="1" thickBot="1">
      <c r="B13" t="s">
        <v>59</v>
      </c>
      <c r="C13" t="s">
        <v>60</v>
      </c>
      <c r="D13" s="56" t="s">
        <v>190</v>
      </c>
      <c r="E13" s="57" t="s">
        <v>189</v>
      </c>
    </row>
    <row r="14" spans="1:12" ht="15" thickTop="1"/>
    <row r="15" spans="1:12" ht="15" thickBot="1">
      <c r="D15" s="68" t="s">
        <v>156</v>
      </c>
    </row>
    <row r="16" spans="1:12" ht="15" thickTop="1">
      <c r="A16" t="s">
        <v>54</v>
      </c>
      <c r="C16" s="50" t="s">
        <v>184</v>
      </c>
      <c r="D16" s="69" t="s">
        <v>184</v>
      </c>
      <c r="E16" s="70" t="s">
        <v>184</v>
      </c>
    </row>
    <row r="17" spans="1:12" ht="15" thickBot="1">
      <c r="A17" t="s">
        <v>55</v>
      </c>
      <c r="C17" s="50" t="s">
        <v>183</v>
      </c>
      <c r="D17" s="71" t="s">
        <v>183</v>
      </c>
      <c r="E17" s="72" t="s">
        <v>183</v>
      </c>
    </row>
    <row r="18" spans="1:12" ht="15.6" thickTop="1" thickBot="1">
      <c r="D18" s="68" t="s">
        <v>157</v>
      </c>
    </row>
    <row r="19" spans="1:12" ht="15.6" thickTop="1" thickBot="1">
      <c r="B19" t="s">
        <v>59</v>
      </c>
      <c r="C19" t="s">
        <v>60</v>
      </c>
      <c r="D19" s="73" t="s">
        <v>60</v>
      </c>
      <c r="E19" s="74" t="s">
        <v>60</v>
      </c>
    </row>
    <row r="20" spans="1:12" ht="15.6" thickTop="1" thickBot="1">
      <c r="D20" s="50" t="s">
        <v>228</v>
      </c>
      <c r="E20" s="49"/>
    </row>
    <row r="21" spans="1:12" ht="15.6" thickTop="1" thickBot="1">
      <c r="B21" t="s">
        <v>59</v>
      </c>
      <c r="C21" t="s">
        <v>60</v>
      </c>
      <c r="D21" s="73" t="s">
        <v>190</v>
      </c>
      <c r="E21" s="74" t="s">
        <v>189</v>
      </c>
    </row>
    <row r="22" spans="1:12" ht="15.6" thickTop="1" thickBot="1">
      <c r="D22" s="50" t="s">
        <v>229</v>
      </c>
      <c r="E22" s="49"/>
    </row>
    <row r="23" spans="1:12" ht="15.6" thickTop="1" thickBot="1">
      <c r="B23" t="s">
        <v>59</v>
      </c>
      <c r="C23" t="s">
        <v>60</v>
      </c>
      <c r="D23" s="73" t="s">
        <v>60</v>
      </c>
      <c r="E23" s="74" t="s">
        <v>60</v>
      </c>
    </row>
    <row r="24" spans="1:12" ht="15" thickTop="1"/>
    <row r="25" spans="1:12" s="84" customFormat="1">
      <c r="A25" s="83" t="s">
        <v>58</v>
      </c>
      <c r="B25" s="83"/>
    </row>
    <row r="27" spans="1:12" ht="15" thickBot="1">
      <c r="D27" s="30" t="s">
        <v>57</v>
      </c>
      <c r="G27" s="30" t="s">
        <v>62</v>
      </c>
      <c r="I27" s="30" t="s">
        <v>73</v>
      </c>
      <c r="L27" s="30" t="s">
        <v>63</v>
      </c>
    </row>
    <row r="28" spans="1:12" ht="15" thickTop="1">
      <c r="A28" t="s">
        <v>54</v>
      </c>
      <c r="C28" s="50" t="s">
        <v>184</v>
      </c>
      <c r="D28" s="52">
        <v>7.0000000000000007E-2</v>
      </c>
      <c r="E28" s="53">
        <v>0.05</v>
      </c>
      <c r="G28" s="59"/>
      <c r="I28" s="63"/>
      <c r="J28" s="63"/>
      <c r="L28" s="125"/>
    </row>
    <row r="29" spans="1:12" ht="15" thickBot="1">
      <c r="A29" t="s">
        <v>55</v>
      </c>
      <c r="C29" s="50" t="s">
        <v>183</v>
      </c>
      <c r="D29" s="54">
        <v>1</v>
      </c>
      <c r="E29" s="55">
        <v>0.2</v>
      </c>
      <c r="G29" s="60"/>
      <c r="I29" s="63"/>
      <c r="J29" s="63"/>
      <c r="L29" s="125"/>
    </row>
    <row r="30" spans="1:12" ht="15.6" thickTop="1" thickBot="1">
      <c r="D30" s="30" t="s">
        <v>214</v>
      </c>
    </row>
    <row r="31" spans="1:12" ht="15.6" thickTop="1" thickBot="1">
      <c r="B31" t="s">
        <v>59</v>
      </c>
      <c r="C31" t="s">
        <v>60</v>
      </c>
      <c r="D31" s="56">
        <v>10</v>
      </c>
      <c r="E31" s="57">
        <v>18</v>
      </c>
    </row>
    <row r="32" spans="1:12" ht="15" thickTop="1"/>
    <row r="34" spans="1:24">
      <c r="A34" s="58" t="s">
        <v>64</v>
      </c>
      <c r="B34" s="58"/>
    </row>
    <row r="41" spans="1:24">
      <c r="D41" s="49" t="s">
        <v>65</v>
      </c>
      <c r="E41" s="49"/>
      <c r="F41" s="49"/>
      <c r="G41" s="49" t="s">
        <v>66</v>
      </c>
      <c r="H41" s="49"/>
      <c r="I41" s="49"/>
      <c r="J41" s="49" t="s">
        <v>67</v>
      </c>
      <c r="M41" s="49" t="s">
        <v>68</v>
      </c>
      <c r="P41" s="49" t="s">
        <v>69</v>
      </c>
      <c r="S41" s="49" t="s">
        <v>70</v>
      </c>
    </row>
    <row r="42" spans="1:24">
      <c r="A42" s="68">
        <v>1</v>
      </c>
      <c r="D42" s="64" t="s">
        <v>142</v>
      </c>
      <c r="E42" s="64"/>
      <c r="F42" s="64"/>
      <c r="G42" s="64" t="s">
        <v>57</v>
      </c>
      <c r="H42" s="64"/>
      <c r="I42" s="64"/>
      <c r="J42" s="64" t="s">
        <v>143</v>
      </c>
      <c r="L42" s="64"/>
      <c r="M42" s="64" t="s">
        <v>144</v>
      </c>
      <c r="N42" s="49"/>
      <c r="O42" s="49"/>
      <c r="P42" s="64" t="s">
        <v>145</v>
      </c>
      <c r="Q42" s="49"/>
      <c r="R42" s="49"/>
      <c r="S42" s="64" t="s">
        <v>146</v>
      </c>
      <c r="T42" s="49"/>
      <c r="V42" s="64" t="s">
        <v>147</v>
      </c>
    </row>
    <row r="43" spans="1:24">
      <c r="A43" t="s">
        <v>54</v>
      </c>
      <c r="D43" s="63">
        <f t="array" ref="D43:E44">_xlfn.MUNIT(2)</f>
        <v>1</v>
      </c>
      <c r="E43" s="63">
        <v>0</v>
      </c>
      <c r="F43" s="107" t="s">
        <v>148</v>
      </c>
      <c r="G43" s="63">
        <f t="array" ref="G43:H44">D28:E29</f>
        <v>7.0000000000000007E-2</v>
      </c>
      <c r="H43" s="63">
        <v>0.05</v>
      </c>
      <c r="I43" s="107" t="s">
        <v>148</v>
      </c>
      <c r="J43" s="63">
        <f t="array" ref="J43:K44">MMULT(G43:H44,$D$28:$E$29)</f>
        <v>5.4900000000000004E-2</v>
      </c>
      <c r="K43" s="63">
        <v>1.3500000000000002E-2</v>
      </c>
      <c r="L43" s="107" t="s">
        <v>148</v>
      </c>
      <c r="M43" s="63">
        <f t="array" ref="M43:N44">MMULT(J43:K44,D28:E29)</f>
        <v>1.7343000000000001E-2</v>
      </c>
      <c r="N43" s="63">
        <v>5.4450000000000011E-3</v>
      </c>
      <c r="O43" s="107" t="s">
        <v>148</v>
      </c>
      <c r="P43" s="63">
        <f t="array" ref="P43:Q44">MMULT(M43:N44,D28:E29)</f>
        <v>6.6590100000000017E-3</v>
      </c>
      <c r="Q43" s="63">
        <v>1.9561500000000002E-3</v>
      </c>
      <c r="R43" s="49" t="s">
        <v>148</v>
      </c>
      <c r="S43" s="63">
        <f t="array" ref="S43:T44">MMULT(M43:N44,D28:E29)</f>
        <v>6.6590100000000017E-3</v>
      </c>
      <c r="T43" s="63">
        <v>1.9561500000000002E-3</v>
      </c>
      <c r="U43" s="49" t="s">
        <v>149</v>
      </c>
      <c r="V43" s="63">
        <f t="array" ref="V43:W44">S43:T44+P43:Q44+M43:N44+J43:K44+G43:H44+D43:E44</f>
        <v>1.1555610199999999</v>
      </c>
      <c r="W43" s="63">
        <v>7.2857300000000014E-2</v>
      </c>
      <c r="X43" t="s">
        <v>151</v>
      </c>
    </row>
    <row r="44" spans="1:24">
      <c r="A44" t="s">
        <v>55</v>
      </c>
      <c r="D44" s="63">
        <v>0</v>
      </c>
      <c r="E44" s="63">
        <v>1</v>
      </c>
      <c r="F44" s="107"/>
      <c r="G44" s="63">
        <v>1</v>
      </c>
      <c r="H44" s="63">
        <v>0.2</v>
      </c>
      <c r="I44" s="107"/>
      <c r="J44" s="63">
        <v>0.27</v>
      </c>
      <c r="K44" s="63">
        <v>9.0000000000000011E-2</v>
      </c>
      <c r="L44" s="107"/>
      <c r="M44" s="63">
        <v>0.10890000000000001</v>
      </c>
      <c r="N44" s="63">
        <v>3.15E-2</v>
      </c>
      <c r="O44" s="107"/>
      <c r="P44" s="63">
        <v>3.9123000000000005E-2</v>
      </c>
      <c r="Q44" s="63">
        <v>1.1745000000000002E-2</v>
      </c>
      <c r="S44" s="63">
        <v>3.9123000000000005E-2</v>
      </c>
      <c r="T44" s="63">
        <v>1.1745000000000002E-2</v>
      </c>
      <c r="V44" s="63">
        <v>1.4571460000000001</v>
      </c>
      <c r="W44" s="63">
        <v>1.3449900000000001</v>
      </c>
    </row>
    <row r="46" spans="1:24">
      <c r="D46" s="49" t="s">
        <v>65</v>
      </c>
      <c r="F46" s="49" t="s">
        <v>66</v>
      </c>
      <c r="G46" s="49"/>
      <c r="H46" s="49" t="s">
        <v>67</v>
      </c>
      <c r="I46" s="49"/>
      <c r="J46" s="49" t="s">
        <v>68</v>
      </c>
      <c r="K46" s="49"/>
      <c r="L46" s="49" t="s">
        <v>69</v>
      </c>
      <c r="M46" s="49"/>
      <c r="N46" s="49" t="s">
        <v>70</v>
      </c>
    </row>
    <row r="47" spans="1:24">
      <c r="A47" s="68">
        <v>2</v>
      </c>
      <c r="D47" s="64" t="s">
        <v>23</v>
      </c>
      <c r="F47" s="64" t="s">
        <v>24</v>
      </c>
      <c r="G47" s="64"/>
      <c r="H47" s="64" t="s">
        <v>25</v>
      </c>
      <c r="I47" s="64"/>
      <c r="J47" s="64" t="s">
        <v>26</v>
      </c>
      <c r="K47" s="64"/>
      <c r="L47" s="64" t="s">
        <v>27</v>
      </c>
      <c r="M47" s="64"/>
      <c r="N47" s="64" t="s">
        <v>28</v>
      </c>
      <c r="P47" s="64" t="s">
        <v>29</v>
      </c>
    </row>
    <row r="48" spans="1:24">
      <c r="A48" t="s">
        <v>54</v>
      </c>
      <c r="D48" s="125" t="e">
        <f t="array" ref="D48:D49">MMULT(_xlfn.MUNIT(2),$G$28:$G$29)</f>
        <v>#VALUE!</v>
      </c>
      <c r="E48" s="107" t="s">
        <v>148</v>
      </c>
      <c r="F48" s="63" t="e">
        <f t="array" ref="F48:F49">MMULT($D$28:$E$29,$G$28:$G$29)</f>
        <v>#VALUE!</v>
      </c>
      <c r="G48" s="107" t="s">
        <v>148</v>
      </c>
      <c r="H48" s="63" t="e">
        <f t="array" ref="H48:H49">MMULT($D$28:$E$29,MMULT($D$28:$E$29,$G$28:$G$29))</f>
        <v>#VALUE!</v>
      </c>
      <c r="I48" s="107" t="s">
        <v>148</v>
      </c>
      <c r="J48" s="63" t="e">
        <f t="array" ref="J48:J49">MMULT($D$28:$E$29,MMULT($D$28:$E$29,MMULT($D$28:$E$29,$G$28:$G$29)))</f>
        <v>#VALUE!</v>
      </c>
      <c r="K48" s="107" t="s">
        <v>148</v>
      </c>
      <c r="L48" s="63" t="e">
        <f t="array" ref="L48:L49">MMULT($D$28:$E$29,MMULT($D$28:$E$29,MMULT($D$28:$E$29,MMULT($D$28:$E$29,$G$28:$G$29))))</f>
        <v>#VALUE!</v>
      </c>
      <c r="M48" s="107" t="s">
        <v>148</v>
      </c>
      <c r="N48" s="63" t="e">
        <f t="array" ref="N48:N49">MMULT($D$28:$E$29,MMULT($D$28:$E$29,MMULT($D$28:$E$29,MMULT($D$28:$E$29,MMULT($D$28:$E$29,$G$28:$G$29)))))</f>
        <v>#VALUE!</v>
      </c>
      <c r="O48" s="49" t="s">
        <v>149</v>
      </c>
      <c r="P48" s="63" t="e">
        <f>SUM(D48:N48)</f>
        <v>#VALUE!</v>
      </c>
      <c r="Q48" t="s">
        <v>150</v>
      </c>
    </row>
    <row r="49" spans="1:16">
      <c r="A49" t="s">
        <v>55</v>
      </c>
      <c r="D49" s="125" t="e">
        <v>#VALUE!</v>
      </c>
      <c r="F49" s="63" t="e">
        <v>#VALUE!</v>
      </c>
      <c r="G49" s="107"/>
      <c r="H49" s="63" t="e">
        <v>#VALUE!</v>
      </c>
      <c r="I49" s="107"/>
      <c r="J49" s="63" t="e">
        <v>#VALUE!</v>
      </c>
      <c r="K49" s="107"/>
      <c r="L49" s="63" t="e">
        <v>#VALUE!</v>
      </c>
      <c r="M49" s="107"/>
      <c r="N49" s="63" t="e">
        <v>#VALUE!</v>
      </c>
      <c r="P49" s="63" t="e">
        <f>SUM(D49:N49)</f>
        <v>#VALUE!</v>
      </c>
    </row>
    <row r="52" spans="1:16">
      <c r="A52" s="65" t="s">
        <v>192</v>
      </c>
      <c r="B52" s="65"/>
    </row>
    <row r="54" spans="1:16" ht="15" thickBot="1">
      <c r="D54" s="68" t="s">
        <v>71</v>
      </c>
      <c r="G54" s="30" t="s">
        <v>63</v>
      </c>
      <c r="I54" s="30"/>
    </row>
    <row r="55" spans="1:16" ht="15" thickTop="1">
      <c r="A55" t="s">
        <v>54</v>
      </c>
      <c r="C55" s="50" t="s">
        <v>184</v>
      </c>
      <c r="D55" s="75"/>
      <c r="E55" s="76"/>
      <c r="G55" s="125"/>
      <c r="H55" s="49"/>
    </row>
    <row r="56" spans="1:16" ht="15" thickBot="1">
      <c r="A56" t="s">
        <v>55</v>
      </c>
      <c r="C56" s="50" t="s">
        <v>183</v>
      </c>
      <c r="D56" s="77"/>
      <c r="E56" s="78"/>
      <c r="G56" s="125"/>
    </row>
    <row r="57" spans="1:16" ht="15" thickTop="1"/>
    <row r="60" spans="1:16">
      <c r="A60" s="65" t="s">
        <v>77</v>
      </c>
    </row>
    <row r="61" spans="1:16">
      <c r="A61" s="65"/>
    </row>
    <row r="62" spans="1:16">
      <c r="A62" s="65"/>
      <c r="D62" s="30" t="s">
        <v>76</v>
      </c>
    </row>
    <row r="63" spans="1:16" ht="15" thickBot="1">
      <c r="D63" s="68" t="s">
        <v>227</v>
      </c>
      <c r="G63" s="1" t="s">
        <v>231</v>
      </c>
    </row>
    <row r="64" spans="1:16" ht="15.6" thickTop="1" thickBot="1">
      <c r="B64" t="s">
        <v>59</v>
      </c>
      <c r="C64" t="s">
        <v>60</v>
      </c>
      <c r="D64" s="81"/>
      <c r="E64" s="82"/>
      <c r="G64" s="29">
        <f>SUM(D64:E64)</f>
        <v>0</v>
      </c>
    </row>
    <row r="65" spans="2:7" ht="15" thickTop="1">
      <c r="D65" s="87"/>
      <c r="E65" s="87"/>
      <c r="G65" s="29"/>
    </row>
    <row r="66" spans="2:7">
      <c r="D66" s="30" t="s">
        <v>78</v>
      </c>
      <c r="E66" s="87"/>
      <c r="G66" s="29"/>
    </row>
    <row r="67" spans="2:7" ht="15" thickBot="1">
      <c r="D67" s="68" t="s">
        <v>220</v>
      </c>
    </row>
    <row r="68" spans="2:7" ht="15.6" thickTop="1" thickBot="1">
      <c r="B68" t="s">
        <v>59</v>
      </c>
      <c r="C68" t="s">
        <v>60</v>
      </c>
      <c r="D68" s="81"/>
      <c r="E68" s="82"/>
    </row>
    <row r="69" spans="2:7" ht="15.6" thickTop="1" thickBot="1">
      <c r="D69" s="68" t="s">
        <v>226</v>
      </c>
      <c r="G69" s="1" t="s">
        <v>230</v>
      </c>
    </row>
    <row r="70" spans="2:7" ht="15.6" thickTop="1" thickBot="1">
      <c r="B70" t="s">
        <v>59</v>
      </c>
      <c r="C70" t="s">
        <v>60</v>
      </c>
      <c r="D70" s="85"/>
      <c r="E70" s="86"/>
      <c r="G70" s="29">
        <f>SUM(D70:E70)</f>
        <v>0</v>
      </c>
    </row>
    <row r="71" spans="2:7" ht="15" thickTop="1"/>
  </sheetData>
  <mergeCells count="1">
    <mergeCell ref="A1:H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192B4-C49C-B341-A360-E2B3B1675AB6}">
  <dimension ref="A1:N83"/>
  <sheetViews>
    <sheetView showGridLines="0" zoomScale="125" workbookViewId="0">
      <pane xSplit="3" ySplit="6" topLeftCell="D55" activePane="bottomRight" state="frozen"/>
      <selection activeCell="H23" sqref="H23"/>
      <selection pane="topRight" activeCell="H23" sqref="H23"/>
      <selection pane="bottomLeft" activeCell="H23" sqref="H23"/>
      <selection pane="bottomRight" activeCell="G26" sqref="G26"/>
    </sheetView>
  </sheetViews>
  <sheetFormatPr defaultColWidth="11.5546875" defaultRowHeight="14.4"/>
  <cols>
    <col min="1" max="1" width="15.33203125" customWidth="1"/>
    <col min="2" max="2" width="19.6640625" customWidth="1"/>
    <col min="3" max="3" width="7.33203125" customWidth="1"/>
    <col min="4" max="4" width="12.6640625" customWidth="1"/>
    <col min="5" max="5" width="14" bestFit="1" customWidth="1"/>
    <col min="6" max="6" width="13.44140625" bestFit="1" customWidth="1"/>
    <col min="8" max="8" width="11.6640625" bestFit="1" customWidth="1"/>
  </cols>
  <sheetData>
    <row r="1" spans="1:14">
      <c r="A1" s="152" t="s">
        <v>207</v>
      </c>
      <c r="B1" s="152"/>
      <c r="C1" s="152"/>
      <c r="D1" s="152"/>
      <c r="E1" s="152"/>
      <c r="F1" s="152"/>
      <c r="G1" s="152"/>
      <c r="K1" s="51"/>
      <c r="L1" t="s">
        <v>179</v>
      </c>
    </row>
    <row r="2" spans="1:14">
      <c r="A2" s="152"/>
      <c r="B2" s="152"/>
      <c r="C2" s="152"/>
      <c r="D2" s="152"/>
      <c r="E2" s="152"/>
      <c r="F2" s="152"/>
      <c r="G2" s="152"/>
      <c r="K2" s="62"/>
      <c r="L2" t="s">
        <v>180</v>
      </c>
    </row>
    <row r="3" spans="1:14">
      <c r="A3" s="30"/>
      <c r="B3" s="30"/>
      <c r="K3" s="88"/>
      <c r="L3" t="s">
        <v>181</v>
      </c>
    </row>
    <row r="4" spans="1:14">
      <c r="A4" s="1" t="s">
        <v>122</v>
      </c>
      <c r="B4" s="1"/>
      <c r="D4" t="s">
        <v>54</v>
      </c>
      <c r="E4" t="s">
        <v>55</v>
      </c>
      <c r="F4" t="s">
        <v>193</v>
      </c>
      <c r="H4" t="s">
        <v>81</v>
      </c>
    </row>
    <row r="5" spans="1:14">
      <c r="A5" s="1"/>
      <c r="B5" s="1" t="s">
        <v>160</v>
      </c>
    </row>
    <row r="6" spans="1:14">
      <c r="C6" s="1" t="s">
        <v>53</v>
      </c>
      <c r="D6" s="50" t="s">
        <v>184</v>
      </c>
      <c r="E6" s="50" t="s">
        <v>183</v>
      </c>
      <c r="F6" t="s">
        <v>194</v>
      </c>
    </row>
    <row r="7" spans="1:14">
      <c r="A7" s="30" t="s">
        <v>56</v>
      </c>
      <c r="C7" s="1"/>
      <c r="D7" s="50"/>
      <c r="E7" s="50"/>
    </row>
    <row r="8" spans="1:14">
      <c r="C8" s="1"/>
      <c r="D8" s="50"/>
      <c r="E8" s="50"/>
    </row>
    <row r="9" spans="1:14" ht="15" thickBot="1">
      <c r="D9" s="30" t="s">
        <v>93</v>
      </c>
      <c r="F9" s="30"/>
      <c r="H9" s="30" t="s">
        <v>96</v>
      </c>
      <c r="J9" s="30" t="s">
        <v>97</v>
      </c>
      <c r="K9" s="30"/>
      <c r="N9" t="s">
        <v>98</v>
      </c>
    </row>
    <row r="10" spans="1:14" ht="15" thickTop="1">
      <c r="A10" t="s">
        <v>54</v>
      </c>
      <c r="C10" s="50" t="s">
        <v>184</v>
      </c>
      <c r="D10" s="52" t="s">
        <v>185</v>
      </c>
      <c r="E10" s="89" t="s">
        <v>188</v>
      </c>
      <c r="F10" s="53" t="s">
        <v>200</v>
      </c>
      <c r="H10" s="59" t="s">
        <v>184</v>
      </c>
      <c r="J10" s="61" t="s">
        <v>185</v>
      </c>
      <c r="K10" s="61" t="s">
        <v>188</v>
      </c>
      <c r="L10" s="61" t="s">
        <v>200</v>
      </c>
      <c r="N10" s="61" t="s">
        <v>184</v>
      </c>
    </row>
    <row r="11" spans="1:14">
      <c r="A11" t="s">
        <v>55</v>
      </c>
      <c r="C11" s="50" t="s">
        <v>183</v>
      </c>
      <c r="D11" s="90" t="s">
        <v>186</v>
      </c>
      <c r="E11" s="66" t="s">
        <v>187</v>
      </c>
      <c r="F11" s="91" t="s">
        <v>201</v>
      </c>
      <c r="H11" s="94" t="s">
        <v>183</v>
      </c>
      <c r="J11" s="61" t="s">
        <v>186</v>
      </c>
      <c r="K11" s="61" t="s">
        <v>187</v>
      </c>
      <c r="L11" s="61" t="s">
        <v>201</v>
      </c>
      <c r="N11" s="61" t="s">
        <v>183</v>
      </c>
    </row>
    <row r="12" spans="1:14" ht="15" thickBot="1">
      <c r="A12" t="s">
        <v>191</v>
      </c>
      <c r="C12" s="50" t="s">
        <v>194</v>
      </c>
      <c r="D12" s="54" t="s">
        <v>204</v>
      </c>
      <c r="E12" s="92" t="s">
        <v>203</v>
      </c>
      <c r="F12" s="55" t="s">
        <v>202</v>
      </c>
      <c r="H12" s="60" t="s">
        <v>199</v>
      </c>
      <c r="J12" s="61" t="s">
        <v>204</v>
      </c>
      <c r="K12" s="61" t="s">
        <v>203</v>
      </c>
      <c r="L12" s="61" t="s">
        <v>202</v>
      </c>
      <c r="N12" s="61" t="s">
        <v>194</v>
      </c>
    </row>
    <row r="13" spans="1:14" ht="15.6" thickTop="1" thickBot="1">
      <c r="C13" s="50"/>
      <c r="D13" s="68" t="s">
        <v>94</v>
      </c>
      <c r="E13" s="49"/>
      <c r="F13" s="49"/>
      <c r="H13" s="49"/>
      <c r="J13" s="49"/>
      <c r="K13" s="49"/>
      <c r="L13" s="49"/>
      <c r="N13" s="49"/>
    </row>
    <row r="14" spans="1:14" ht="15.6" thickTop="1" thickBot="1">
      <c r="B14" t="s">
        <v>83</v>
      </c>
      <c r="C14" t="s">
        <v>183</v>
      </c>
      <c r="D14" s="56" t="s">
        <v>195</v>
      </c>
      <c r="E14" s="93" t="s">
        <v>196</v>
      </c>
      <c r="F14" s="57" t="s">
        <v>205</v>
      </c>
    </row>
    <row r="15" spans="1:14" ht="15.6" thickTop="1" thickBot="1">
      <c r="D15" s="30" t="s">
        <v>95</v>
      </c>
    </row>
    <row r="16" spans="1:14" ht="15.6" thickTop="1" thickBot="1">
      <c r="B16" t="s">
        <v>59</v>
      </c>
      <c r="C16" t="s">
        <v>60</v>
      </c>
      <c r="D16" s="56" t="s">
        <v>190</v>
      </c>
      <c r="E16" s="93" t="s">
        <v>189</v>
      </c>
      <c r="F16" s="57" t="s">
        <v>206</v>
      </c>
    </row>
    <row r="17" spans="1:6" ht="15" thickTop="1"/>
    <row r="18" spans="1:6" ht="15" thickBot="1">
      <c r="D18" s="68" t="s">
        <v>99</v>
      </c>
    </row>
    <row r="19" spans="1:6" ht="15" thickTop="1">
      <c r="A19" t="s">
        <v>54</v>
      </c>
      <c r="C19" s="50" t="s">
        <v>184</v>
      </c>
      <c r="D19" s="52" t="s">
        <v>184</v>
      </c>
      <c r="E19" s="89" t="s">
        <v>184</v>
      </c>
      <c r="F19" s="53" t="s">
        <v>184</v>
      </c>
    </row>
    <row r="20" spans="1:6">
      <c r="A20" t="s">
        <v>55</v>
      </c>
      <c r="C20" s="50" t="s">
        <v>183</v>
      </c>
      <c r="D20" s="90" t="s">
        <v>183</v>
      </c>
      <c r="E20" s="66" t="s">
        <v>183</v>
      </c>
      <c r="F20" s="91" t="s">
        <v>183</v>
      </c>
    </row>
    <row r="21" spans="1:6" ht="15" thickBot="1">
      <c r="A21" t="s">
        <v>191</v>
      </c>
      <c r="C21" s="50" t="s">
        <v>199</v>
      </c>
      <c r="D21" s="54" t="s">
        <v>208</v>
      </c>
      <c r="E21" s="92" t="s">
        <v>208</v>
      </c>
      <c r="F21" s="55" t="s">
        <v>208</v>
      </c>
    </row>
    <row r="22" spans="1:6" ht="15.6" thickTop="1" thickBot="1">
      <c r="D22" s="68" t="s">
        <v>100</v>
      </c>
    </row>
    <row r="23" spans="1:6" ht="15.6" thickTop="1" thickBot="1">
      <c r="B23" t="s">
        <v>59</v>
      </c>
      <c r="C23" t="s">
        <v>60</v>
      </c>
      <c r="D23" s="73" t="s">
        <v>190</v>
      </c>
      <c r="E23" s="95" t="s">
        <v>189</v>
      </c>
      <c r="F23" s="74" t="s">
        <v>206</v>
      </c>
    </row>
    <row r="24" spans="1:6" ht="15.6" thickTop="1" thickBot="1">
      <c r="D24" s="50" t="s">
        <v>101</v>
      </c>
      <c r="E24" s="49"/>
    </row>
    <row r="25" spans="1:6" ht="15.6" thickTop="1" thickBot="1">
      <c r="B25" t="s">
        <v>59</v>
      </c>
      <c r="C25" t="s">
        <v>60</v>
      </c>
      <c r="D25" s="73" t="s">
        <v>190</v>
      </c>
      <c r="E25" s="95" t="s">
        <v>189</v>
      </c>
      <c r="F25" s="74" t="s">
        <v>206</v>
      </c>
    </row>
    <row r="26" spans="1:6" ht="15.6" thickTop="1" thickBot="1">
      <c r="D26" s="50" t="s">
        <v>102</v>
      </c>
      <c r="E26" s="49"/>
    </row>
    <row r="27" spans="1:6" ht="15.6" thickTop="1" thickBot="1">
      <c r="B27" t="s">
        <v>59</v>
      </c>
      <c r="C27" t="s">
        <v>60</v>
      </c>
      <c r="D27" s="73" t="s">
        <v>190</v>
      </c>
      <c r="E27" s="95" t="s">
        <v>189</v>
      </c>
      <c r="F27" s="74" t="s">
        <v>206</v>
      </c>
    </row>
    <row r="28" spans="1:6" ht="15.6" thickTop="1" thickBot="1">
      <c r="D28" s="50" t="s">
        <v>103</v>
      </c>
      <c r="E28" s="49"/>
    </row>
    <row r="29" spans="1:6" ht="15.6" thickTop="1" thickBot="1">
      <c r="B29" t="s">
        <v>83</v>
      </c>
      <c r="C29" t="s">
        <v>183</v>
      </c>
      <c r="D29" s="73" t="s">
        <v>183</v>
      </c>
      <c r="E29" s="95" t="s">
        <v>183</v>
      </c>
      <c r="F29" s="74" t="s">
        <v>183</v>
      </c>
    </row>
    <row r="30" spans="1:6" ht="15.6" thickTop="1" thickBot="1">
      <c r="D30" s="68" t="s">
        <v>104</v>
      </c>
      <c r="E30" s="49"/>
      <c r="F30" s="49"/>
    </row>
    <row r="31" spans="1:6" ht="15.6" thickTop="1" thickBot="1">
      <c r="B31" t="s">
        <v>86</v>
      </c>
      <c r="C31" t="s">
        <v>183</v>
      </c>
      <c r="D31" s="99" t="s">
        <v>186</v>
      </c>
      <c r="E31" s="100" t="s">
        <v>187</v>
      </c>
      <c r="F31" s="101" t="s">
        <v>201</v>
      </c>
    </row>
    <row r="32" spans="1:6" ht="15" thickTop="1"/>
    <row r="33" spans="1:14" s="84" customFormat="1">
      <c r="A33" s="83" t="s">
        <v>58</v>
      </c>
      <c r="B33" s="83"/>
    </row>
    <row r="34" spans="1:14">
      <c r="A34" s="30"/>
      <c r="B34" s="30"/>
    </row>
    <row r="35" spans="1:14">
      <c r="A35" s="1" t="s">
        <v>82</v>
      </c>
    </row>
    <row r="36" spans="1:14">
      <c r="A36" s="1"/>
    </row>
    <row r="37" spans="1:14" ht="15" thickBot="1">
      <c r="D37" s="30" t="s">
        <v>57</v>
      </c>
      <c r="F37" s="30"/>
      <c r="H37" s="30" t="s">
        <v>62</v>
      </c>
      <c r="J37" s="30" t="s">
        <v>74</v>
      </c>
      <c r="K37" s="30"/>
      <c r="N37" t="s">
        <v>75</v>
      </c>
    </row>
    <row r="38" spans="1:14" ht="15" thickTop="1">
      <c r="A38" t="s">
        <v>54</v>
      </c>
      <c r="C38" s="50" t="s">
        <v>184</v>
      </c>
      <c r="D38" s="52">
        <v>7.0000000000000007E-2</v>
      </c>
      <c r="E38" s="89">
        <v>0.05</v>
      </c>
      <c r="F38" s="53">
        <v>0.15</v>
      </c>
      <c r="H38" s="59">
        <v>0</v>
      </c>
      <c r="J38" s="63">
        <f t="array" ref="J38:L40">MINVERSE(_xlfn.MUNIT(3)-D38:F40)</f>
        <v>1.1527377521613835</v>
      </c>
      <c r="K38" s="63">
        <v>7.2046109510086387E-2</v>
      </c>
      <c r="L38" s="63">
        <v>0.89337175792507395</v>
      </c>
      <c r="N38" s="125">
        <f t="array" ref="N38:N40">MMULT(J38:L40,H38:H40)</f>
        <v>89.337175792507395</v>
      </c>
    </row>
    <row r="39" spans="1:14">
      <c r="A39" t="s">
        <v>55</v>
      </c>
      <c r="C39" s="50" t="s">
        <v>183</v>
      </c>
      <c r="D39" s="90">
        <v>1</v>
      </c>
      <c r="E39" s="66">
        <v>0.2</v>
      </c>
      <c r="F39" s="91">
        <v>10</v>
      </c>
      <c r="H39" s="94">
        <v>0</v>
      </c>
      <c r="J39" s="63">
        <v>1.4409221902017293</v>
      </c>
      <c r="K39" s="63">
        <v>1.340057636887608</v>
      </c>
      <c r="L39" s="63">
        <v>13.616714697406341</v>
      </c>
      <c r="N39" s="125">
        <v>1361.6714697406342</v>
      </c>
    </row>
    <row r="40" spans="1:14" ht="15" thickBot="1">
      <c r="A40" t="s">
        <v>191</v>
      </c>
      <c r="C40" s="50" t="s">
        <v>194</v>
      </c>
      <c r="D40" s="54">
        <v>0</v>
      </c>
      <c r="E40" s="92">
        <v>0</v>
      </c>
      <c r="F40" s="55">
        <v>0</v>
      </c>
      <c r="H40" s="60">
        <v>100</v>
      </c>
      <c r="J40" s="63">
        <v>0</v>
      </c>
      <c r="K40" s="63">
        <v>0</v>
      </c>
      <c r="L40" s="63">
        <v>1</v>
      </c>
      <c r="N40" s="125">
        <v>100</v>
      </c>
    </row>
    <row r="41" spans="1:14" ht="15.6" thickTop="1" thickBot="1">
      <c r="D41" s="30" t="s">
        <v>61</v>
      </c>
    </row>
    <row r="42" spans="1:14" ht="15.6" thickTop="1" thickBot="1">
      <c r="B42" t="s">
        <v>59</v>
      </c>
      <c r="C42" t="s">
        <v>60</v>
      </c>
      <c r="D42" s="56">
        <v>10</v>
      </c>
      <c r="E42" s="93">
        <v>18</v>
      </c>
      <c r="F42" s="57">
        <v>15</v>
      </c>
    </row>
    <row r="43" spans="1:14" ht="15.6" thickTop="1" thickBot="1">
      <c r="D43" s="68" t="s">
        <v>227</v>
      </c>
      <c r="H43" s="1" t="s">
        <v>79</v>
      </c>
    </row>
    <row r="44" spans="1:14" ht="15.6" thickTop="1" thickBot="1">
      <c r="B44" t="s">
        <v>59</v>
      </c>
      <c r="C44" t="s">
        <v>60</v>
      </c>
      <c r="D44" s="85">
        <f t="array" ref="D44:F44">MMULT(D42:F42,_xlfn.MUNIT(3)*N38:N40)</f>
        <v>893.37175792507401</v>
      </c>
      <c r="E44" s="151">
        <v>24510.086455331417</v>
      </c>
      <c r="F44" s="86">
        <v>1500</v>
      </c>
      <c r="H44" s="109">
        <f>SUM(D44:F44)</f>
        <v>26903.45821325649</v>
      </c>
    </row>
    <row r="45" spans="1:14" ht="15.6" thickTop="1" thickBot="1">
      <c r="D45" s="68" t="s">
        <v>214</v>
      </c>
      <c r="E45" s="49"/>
    </row>
    <row r="46" spans="1:14" ht="15.6" thickTop="1" thickBot="1">
      <c r="B46" t="s">
        <v>59</v>
      </c>
      <c r="C46" t="s">
        <v>60</v>
      </c>
      <c r="D46" s="79">
        <f t="array" ref="D46:F46">MMULT(D42:F42,J38:L40)</f>
        <v>37.463976945244966</v>
      </c>
      <c r="E46" s="102">
        <v>24.841498559077806</v>
      </c>
      <c r="F46" s="80">
        <v>269.03458213256488</v>
      </c>
    </row>
    <row r="47" spans="1:14" ht="15.6" thickTop="1" thickBot="1">
      <c r="D47" s="68" t="s">
        <v>226</v>
      </c>
      <c r="E47" s="49"/>
    </row>
    <row r="48" spans="1:14" ht="15.6" thickTop="1" thickBot="1">
      <c r="B48" t="s">
        <v>59</v>
      </c>
      <c r="C48" t="s">
        <v>60</v>
      </c>
      <c r="D48" s="81">
        <f t="array" ref="D48:F48">MMULT(D46:F46,_xlfn.MUNIT(3)*H38:H40)</f>
        <v>0</v>
      </c>
      <c r="E48" s="103">
        <v>0</v>
      </c>
      <c r="F48" s="82">
        <v>26903.458213256486</v>
      </c>
    </row>
    <row r="49" spans="1:8" ht="15" thickTop="1"/>
    <row r="51" spans="1:8" ht="15" customHeight="1">
      <c r="A51" s="159" t="s">
        <v>211</v>
      </c>
      <c r="B51" s="159"/>
      <c r="C51" s="159"/>
      <c r="D51" s="159"/>
      <c r="E51" s="159"/>
      <c r="F51" s="159"/>
      <c r="G51" s="159"/>
      <c r="H51" s="159"/>
    </row>
    <row r="52" spans="1:8">
      <c r="A52" s="159"/>
      <c r="B52" s="159"/>
      <c r="C52" s="159"/>
      <c r="D52" s="159"/>
      <c r="E52" s="159"/>
      <c r="F52" s="159"/>
      <c r="G52" s="159"/>
      <c r="H52" s="159"/>
    </row>
    <row r="53" spans="1:8">
      <c r="A53" s="159"/>
      <c r="B53" s="159"/>
      <c r="C53" s="159"/>
      <c r="D53" s="159"/>
      <c r="E53" s="159"/>
      <c r="F53" s="159"/>
      <c r="G53" s="159"/>
      <c r="H53" s="159"/>
    </row>
    <row r="54" spans="1:8">
      <c r="D54" t="s">
        <v>105</v>
      </c>
    </row>
    <row r="55" spans="1:8">
      <c r="B55" t="s">
        <v>83</v>
      </c>
      <c r="C55" t="s">
        <v>197</v>
      </c>
      <c r="D55" s="66">
        <f>20000/1000000</f>
        <v>0.02</v>
      </c>
      <c r="E55" s="66">
        <f>40000/1000000</f>
        <v>0.04</v>
      </c>
      <c r="F55" s="66">
        <f>30000/1000000</f>
        <v>0.03</v>
      </c>
    </row>
    <row r="56" spans="1:8" ht="15" thickBot="1">
      <c r="D56" s="30" t="s">
        <v>84</v>
      </c>
    </row>
    <row r="57" spans="1:8" ht="15.6" thickTop="1" thickBot="1">
      <c r="B57" t="s">
        <v>83</v>
      </c>
      <c r="C57" t="s">
        <v>198</v>
      </c>
      <c r="D57" s="96">
        <f t="array" ref="D57:F57">D55:F55*D42:F42</f>
        <v>0.2</v>
      </c>
      <c r="E57" s="97">
        <v>0.72</v>
      </c>
      <c r="F57" s="98">
        <v>0.44999999999999996</v>
      </c>
    </row>
    <row r="58" spans="1:8" ht="15.6" thickTop="1" thickBot="1">
      <c r="D58" s="108" t="s">
        <v>88</v>
      </c>
      <c r="E58" s="107"/>
      <c r="F58" s="107"/>
      <c r="H58" s="1" t="s">
        <v>89</v>
      </c>
    </row>
    <row r="59" spans="1:8" ht="15.6" thickTop="1" thickBot="1">
      <c r="B59" t="s">
        <v>83</v>
      </c>
      <c r="C59" t="s">
        <v>183</v>
      </c>
      <c r="D59" s="79">
        <f t="array" ref="D59:F59">MMULT(D57:F57,_xlfn.MUNIT(3)*N38:N40)</f>
        <v>17.867435158501479</v>
      </c>
      <c r="E59" s="102">
        <v>980.40345821325661</v>
      </c>
      <c r="F59" s="80">
        <v>44.999999999999993</v>
      </c>
      <c r="H59" s="110">
        <f>SUM(D59:F59)</f>
        <v>1043.2708933717581</v>
      </c>
    </row>
    <row r="60" spans="1:8" ht="15.6" thickTop="1" thickBot="1">
      <c r="D60" s="30" t="s">
        <v>85</v>
      </c>
    </row>
    <row r="61" spans="1:8" ht="15.6" thickTop="1" thickBot="1">
      <c r="B61" t="s">
        <v>87</v>
      </c>
      <c r="C61" t="s">
        <v>198</v>
      </c>
      <c r="D61" s="104">
        <f t="array" ref="D61:F61">MMULT(D57:F57,J38:L40)</f>
        <v>1.2680115273775217</v>
      </c>
      <c r="E61" s="105">
        <v>0.97925072046109507</v>
      </c>
      <c r="F61" s="106">
        <v>10.432708933717578</v>
      </c>
    </row>
    <row r="62" spans="1:8" ht="15" thickTop="1"/>
    <row r="63" spans="1:8">
      <c r="D63" s="30" t="s">
        <v>90</v>
      </c>
    </row>
    <row r="64" spans="1:8">
      <c r="D64" t="s">
        <v>91</v>
      </c>
    </row>
    <row r="66" spans="1:8" ht="15" thickBot="1">
      <c r="D66" s="30" t="s">
        <v>92</v>
      </c>
    </row>
    <row r="67" spans="1:8" ht="15.6" thickTop="1" thickBot="1">
      <c r="D67" s="104">
        <f t="array" ref="D67:F67">MMULT(D61:F61,D38:F40)</f>
        <v>1.0680115273775217</v>
      </c>
      <c r="E67" s="105">
        <v>0.2592507204610951</v>
      </c>
      <c r="F67" s="106">
        <v>9.9827089337175785</v>
      </c>
    </row>
    <row r="68" spans="1:8" ht="15.6" thickTop="1" thickBot="1">
      <c r="D68" s="30" t="s">
        <v>84</v>
      </c>
    </row>
    <row r="69" spans="1:8" ht="15.6" thickTop="1" thickBot="1">
      <c r="D69" s="96">
        <f t="array" ref="D69:F69">D57:F57</f>
        <v>0.2</v>
      </c>
      <c r="E69" s="97">
        <v>0.72</v>
      </c>
      <c r="F69" s="98">
        <v>0.44999999999999996</v>
      </c>
    </row>
    <row r="70" spans="1:8" ht="15" thickTop="1"/>
    <row r="72" spans="1:8">
      <c r="A72" s="159" t="s">
        <v>209</v>
      </c>
      <c r="B72" s="159"/>
      <c r="C72" s="159"/>
      <c r="D72" s="159"/>
      <c r="E72" s="159"/>
      <c r="F72" s="159"/>
      <c r="G72" s="159"/>
      <c r="H72" s="159"/>
    </row>
    <row r="73" spans="1:8">
      <c r="A73" s="159"/>
      <c r="B73" s="159"/>
      <c r="C73" s="159"/>
      <c r="D73" s="159"/>
      <c r="E73" s="159"/>
      <c r="F73" s="159"/>
      <c r="G73" s="159"/>
      <c r="H73" s="159"/>
    </row>
    <row r="74" spans="1:8">
      <c r="A74" s="159"/>
      <c r="B74" s="159"/>
      <c r="C74" s="159"/>
      <c r="D74" s="159"/>
      <c r="E74" s="159"/>
      <c r="F74" s="159"/>
      <c r="G74" s="159"/>
      <c r="H74" s="159"/>
    </row>
    <row r="75" spans="1:8">
      <c r="D75" t="s">
        <v>106</v>
      </c>
    </row>
    <row r="76" spans="1:8">
      <c r="B76" t="s">
        <v>83</v>
      </c>
      <c r="C76" t="s">
        <v>197</v>
      </c>
      <c r="D76" s="67">
        <f>30000/1000000</f>
        <v>0.03</v>
      </c>
      <c r="E76" s="66">
        <f>40000/1000000</f>
        <v>0.04</v>
      </c>
      <c r="F76" s="66">
        <f>30000/1000000</f>
        <v>0.03</v>
      </c>
    </row>
    <row r="77" spans="1:8" ht="15" thickBot="1">
      <c r="D77" s="30" t="s">
        <v>107</v>
      </c>
    </row>
    <row r="78" spans="1:8" ht="15.6" thickTop="1" thickBot="1">
      <c r="B78" t="s">
        <v>83</v>
      </c>
      <c r="C78" t="s">
        <v>198</v>
      </c>
      <c r="D78" s="96">
        <f t="array" ref="D78:F78">D76:F76*D42:F42</f>
        <v>0.3</v>
      </c>
      <c r="E78" s="97">
        <v>0.72</v>
      </c>
      <c r="F78" s="98">
        <v>0.44999999999999996</v>
      </c>
    </row>
    <row r="79" spans="1:8" ht="15.6" thickTop="1" thickBot="1">
      <c r="D79" s="108" t="s">
        <v>108</v>
      </c>
      <c r="E79" s="107"/>
      <c r="F79" s="107"/>
      <c r="H79" s="1"/>
    </row>
    <row r="80" spans="1:8" ht="15.6" thickTop="1" thickBot="1">
      <c r="B80" t="s">
        <v>83</v>
      </c>
      <c r="C80" t="s">
        <v>183</v>
      </c>
      <c r="D80" s="79">
        <f t="array" ref="D80:F80">MMULT(D78:F78,_xlfn.MUNIT(3)*N38:N40)</f>
        <v>26.801152737752219</v>
      </c>
      <c r="E80" s="102">
        <v>980.40345821325661</v>
      </c>
      <c r="F80" s="80">
        <v>44.999999999999993</v>
      </c>
      <c r="H80" s="29"/>
    </row>
    <row r="81" spans="2:8" ht="15.6" thickTop="1" thickBot="1">
      <c r="D81" s="30" t="s">
        <v>109</v>
      </c>
      <c r="H81" s="1" t="s">
        <v>210</v>
      </c>
    </row>
    <row r="82" spans="2:8" ht="15.6" thickTop="1" thickBot="1">
      <c r="B82" t="s">
        <v>87</v>
      </c>
      <c r="C82" t="s">
        <v>198</v>
      </c>
      <c r="D82" s="104">
        <f t="array" ref="D82:F82">MMULT(D78:F78,J38:L40)</f>
        <v>1.38328530259366</v>
      </c>
      <c r="E82" s="105">
        <v>0.98645533141210362</v>
      </c>
      <c r="F82" s="106">
        <v>10.522046109510086</v>
      </c>
      <c r="H82" s="111">
        <f>(F82-F61)/F61</f>
        <v>8.5631810836568414E-3</v>
      </c>
    </row>
    <row r="83" spans="2:8" ht="15" thickTop="1"/>
  </sheetData>
  <mergeCells count="3">
    <mergeCell ref="A1:G2"/>
    <mergeCell ref="A51:H53"/>
    <mergeCell ref="A72:H7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7DD7B-9DE6-6049-A53D-8D1F3C6A7E31}">
  <dimension ref="A1:X96"/>
  <sheetViews>
    <sheetView zoomScale="125" workbookViewId="0">
      <pane xSplit="4" ySplit="8" topLeftCell="E21" activePane="bottomRight" state="frozen"/>
      <selection activeCell="L94" sqref="L94"/>
      <selection pane="topRight" activeCell="L94" sqref="L94"/>
      <selection pane="bottomLeft" activeCell="L94" sqref="L94"/>
      <selection pane="bottomRight" activeCell="O44" sqref="O44"/>
    </sheetView>
  </sheetViews>
  <sheetFormatPr defaultColWidth="11.5546875" defaultRowHeight="14.4"/>
  <cols>
    <col min="2" max="2" width="9" customWidth="1"/>
    <col min="3" max="3" width="16.44140625" customWidth="1"/>
    <col min="5" max="5" width="11" bestFit="1" customWidth="1"/>
    <col min="6" max="8" width="11.6640625" bestFit="1" customWidth="1"/>
    <col min="9" max="9" width="12.6640625" bestFit="1" customWidth="1"/>
    <col min="10" max="10" width="11.6640625" bestFit="1" customWidth="1"/>
    <col min="11" max="11" width="7.109375" bestFit="1" customWidth="1"/>
    <col min="12" max="12" width="11.6640625" bestFit="1" customWidth="1"/>
    <col min="13" max="13" width="12.6640625" bestFit="1" customWidth="1"/>
    <col min="14" max="14" width="2.77734375" customWidth="1"/>
    <col min="15" max="15" width="15.77734375" bestFit="1" customWidth="1"/>
    <col min="16" max="16" width="2.77734375" customWidth="1"/>
    <col min="18" max="18" width="3.77734375" customWidth="1"/>
    <col min="19" max="19" width="9" customWidth="1"/>
    <col min="20" max="20" width="9.33203125" customWidth="1"/>
    <col min="21" max="21" width="9.6640625" customWidth="1"/>
    <col min="22" max="24" width="8.109375" customWidth="1"/>
  </cols>
  <sheetData>
    <row r="1" spans="1:24">
      <c r="A1" s="160" t="s">
        <v>120</v>
      </c>
      <c r="B1" s="160"/>
      <c r="C1" s="160"/>
      <c r="D1" s="160"/>
      <c r="E1" s="160"/>
      <c r="F1" s="160"/>
      <c r="G1" s="160"/>
      <c r="H1" s="160"/>
      <c r="I1" s="160"/>
      <c r="J1" s="160"/>
      <c r="K1" s="160"/>
      <c r="L1" s="160"/>
      <c r="M1" s="160"/>
      <c r="N1" s="130"/>
    </row>
    <row r="2" spans="1:24">
      <c r="A2" s="160"/>
      <c r="B2" s="160"/>
      <c r="C2" s="160"/>
      <c r="D2" s="160"/>
      <c r="E2" s="160"/>
      <c r="F2" s="160"/>
      <c r="G2" s="160"/>
      <c r="H2" s="160"/>
      <c r="I2" s="160"/>
      <c r="J2" s="160"/>
      <c r="K2" s="160"/>
      <c r="L2" s="160"/>
      <c r="M2" s="160"/>
      <c r="N2" s="130"/>
    </row>
    <row r="5" spans="1:24">
      <c r="A5" s="1" t="s">
        <v>110</v>
      </c>
      <c r="B5" s="1"/>
      <c r="C5" s="1"/>
      <c r="D5" s="1"/>
      <c r="E5" t="s">
        <v>111</v>
      </c>
      <c r="F5" t="s">
        <v>111</v>
      </c>
      <c r="G5" t="s">
        <v>111</v>
      </c>
      <c r="H5" t="s">
        <v>112</v>
      </c>
      <c r="I5" t="s">
        <v>112</v>
      </c>
      <c r="J5" t="s">
        <v>112</v>
      </c>
      <c r="L5" t="s">
        <v>111</v>
      </c>
      <c r="M5" t="s">
        <v>112</v>
      </c>
      <c r="S5" t="s">
        <v>111</v>
      </c>
      <c r="T5" t="s">
        <v>111</v>
      </c>
      <c r="U5" t="s">
        <v>111</v>
      </c>
      <c r="V5" t="s">
        <v>112</v>
      </c>
      <c r="W5" t="s">
        <v>112</v>
      </c>
      <c r="X5" t="s">
        <v>112</v>
      </c>
    </row>
    <row r="6" spans="1:24">
      <c r="A6" s="1"/>
      <c r="B6" s="1" t="s">
        <v>122</v>
      </c>
      <c r="C6" s="1"/>
      <c r="D6" s="1"/>
      <c r="E6" t="s">
        <v>113</v>
      </c>
      <c r="F6" t="s">
        <v>114</v>
      </c>
      <c r="G6" t="s">
        <v>115</v>
      </c>
      <c r="H6" t="s">
        <v>113</v>
      </c>
      <c r="I6" t="s">
        <v>114</v>
      </c>
      <c r="J6" t="s">
        <v>115</v>
      </c>
      <c r="L6" t="s">
        <v>116</v>
      </c>
      <c r="M6" t="s">
        <v>116</v>
      </c>
      <c r="S6" t="s">
        <v>113</v>
      </c>
      <c r="T6" t="s">
        <v>114</v>
      </c>
      <c r="U6" t="s">
        <v>115</v>
      </c>
      <c r="V6" t="s">
        <v>113</v>
      </c>
      <c r="W6" t="s">
        <v>114</v>
      </c>
      <c r="X6" t="s">
        <v>115</v>
      </c>
    </row>
    <row r="7" spans="1:24">
      <c r="A7" s="1"/>
      <c r="B7" s="1"/>
      <c r="C7" s="1" t="s">
        <v>160</v>
      </c>
      <c r="D7" s="1"/>
    </row>
    <row r="8" spans="1:24">
      <c r="A8" s="1"/>
      <c r="B8" s="1"/>
      <c r="C8" s="1"/>
      <c r="D8" s="1" t="s">
        <v>53</v>
      </c>
      <c r="E8" t="s">
        <v>215</v>
      </c>
      <c r="F8" t="s">
        <v>215</v>
      </c>
      <c r="G8" t="s">
        <v>215</v>
      </c>
      <c r="H8" t="s">
        <v>215</v>
      </c>
      <c r="I8" t="s">
        <v>215</v>
      </c>
      <c r="J8" t="s">
        <v>215</v>
      </c>
    </row>
    <row r="9" spans="1:24" s="116" customFormat="1">
      <c r="A9" s="115" t="s">
        <v>56</v>
      </c>
    </row>
    <row r="10" spans="1:24">
      <c r="E10" s="30" t="s">
        <v>130</v>
      </c>
      <c r="L10" s="30" t="s">
        <v>131</v>
      </c>
      <c r="O10" s="30" t="s">
        <v>168</v>
      </c>
      <c r="P10" s="30"/>
      <c r="Q10" t="s">
        <v>132</v>
      </c>
    </row>
    <row r="11" spans="1:24">
      <c r="A11" t="s">
        <v>111</v>
      </c>
      <c r="B11" t="s">
        <v>113</v>
      </c>
      <c r="D11" t="s">
        <v>215</v>
      </c>
      <c r="E11" s="123" t="s">
        <v>215</v>
      </c>
      <c r="F11" s="123" t="s">
        <v>215</v>
      </c>
      <c r="G11" s="123" t="s">
        <v>215</v>
      </c>
      <c r="H11" s="123" t="s">
        <v>215</v>
      </c>
      <c r="I11" s="123" t="s">
        <v>215</v>
      </c>
      <c r="J11" s="123" t="s">
        <v>215</v>
      </c>
      <c r="K11" s="3"/>
      <c r="L11" s="123" t="s">
        <v>215</v>
      </c>
      <c r="M11" s="123" t="s">
        <v>215</v>
      </c>
      <c r="N11" s="131"/>
      <c r="O11" s="125" t="s">
        <v>215</v>
      </c>
      <c r="P11" s="131"/>
      <c r="Q11" s="125" t="s">
        <v>215</v>
      </c>
    </row>
    <row r="12" spans="1:24">
      <c r="A12" t="s">
        <v>111</v>
      </c>
      <c r="B12" t="s">
        <v>114</v>
      </c>
      <c r="D12" t="s">
        <v>215</v>
      </c>
      <c r="E12" s="123" t="s">
        <v>215</v>
      </c>
      <c r="F12" s="123" t="s">
        <v>215</v>
      </c>
      <c r="G12" s="123" t="s">
        <v>215</v>
      </c>
      <c r="H12" s="123" t="s">
        <v>215</v>
      </c>
      <c r="I12" s="123" t="s">
        <v>215</v>
      </c>
      <c r="J12" s="123" t="s">
        <v>215</v>
      </c>
      <c r="K12" s="3"/>
      <c r="L12" s="123" t="s">
        <v>215</v>
      </c>
      <c r="M12" s="123" t="s">
        <v>215</v>
      </c>
      <c r="N12" s="131"/>
      <c r="O12" s="125" t="s">
        <v>215</v>
      </c>
      <c r="P12" s="131"/>
      <c r="Q12" s="125" t="s">
        <v>215</v>
      </c>
    </row>
    <row r="13" spans="1:24">
      <c r="A13" t="s">
        <v>111</v>
      </c>
      <c r="B13" t="s">
        <v>115</v>
      </c>
      <c r="D13" t="s">
        <v>215</v>
      </c>
      <c r="E13" s="123" t="s">
        <v>215</v>
      </c>
      <c r="F13" s="123" t="s">
        <v>215</v>
      </c>
      <c r="G13" s="123" t="s">
        <v>215</v>
      </c>
      <c r="H13" s="123" t="s">
        <v>215</v>
      </c>
      <c r="I13" s="123" t="s">
        <v>215</v>
      </c>
      <c r="J13" s="123" t="s">
        <v>215</v>
      </c>
      <c r="K13" s="3"/>
      <c r="L13" s="123" t="s">
        <v>215</v>
      </c>
      <c r="M13" s="123" t="s">
        <v>215</v>
      </c>
      <c r="N13" s="131"/>
      <c r="O13" s="125" t="s">
        <v>215</v>
      </c>
      <c r="P13" s="131"/>
      <c r="Q13" s="125" t="s">
        <v>215</v>
      </c>
    </row>
    <row r="14" spans="1:24">
      <c r="A14" t="s">
        <v>112</v>
      </c>
      <c r="B14" t="s">
        <v>113</v>
      </c>
      <c r="D14" t="s">
        <v>215</v>
      </c>
      <c r="E14" s="123" t="s">
        <v>215</v>
      </c>
      <c r="F14" s="123" t="s">
        <v>215</v>
      </c>
      <c r="G14" s="123" t="s">
        <v>215</v>
      </c>
      <c r="H14" s="123" t="s">
        <v>215</v>
      </c>
      <c r="I14" s="123" t="s">
        <v>215</v>
      </c>
      <c r="J14" s="123" t="s">
        <v>215</v>
      </c>
      <c r="K14" s="3"/>
      <c r="L14" s="123" t="s">
        <v>215</v>
      </c>
      <c r="M14" s="123" t="s">
        <v>215</v>
      </c>
      <c r="N14" s="131"/>
      <c r="O14" s="125" t="s">
        <v>215</v>
      </c>
      <c r="P14" s="131"/>
      <c r="Q14" s="125" t="s">
        <v>215</v>
      </c>
    </row>
    <row r="15" spans="1:24">
      <c r="A15" t="s">
        <v>112</v>
      </c>
      <c r="B15" t="s">
        <v>114</v>
      </c>
      <c r="D15" t="s">
        <v>215</v>
      </c>
      <c r="E15" s="123" t="s">
        <v>215</v>
      </c>
      <c r="F15" s="123" t="s">
        <v>215</v>
      </c>
      <c r="G15" s="123" t="s">
        <v>215</v>
      </c>
      <c r="H15" s="123" t="s">
        <v>215</v>
      </c>
      <c r="I15" s="123" t="s">
        <v>215</v>
      </c>
      <c r="J15" s="123" t="s">
        <v>215</v>
      </c>
      <c r="K15" s="3"/>
      <c r="L15" s="123" t="s">
        <v>215</v>
      </c>
      <c r="M15" s="123" t="s">
        <v>215</v>
      </c>
      <c r="N15" s="131"/>
      <c r="O15" s="125" t="s">
        <v>215</v>
      </c>
      <c r="P15" s="131"/>
      <c r="Q15" s="125" t="s">
        <v>215</v>
      </c>
    </row>
    <row r="16" spans="1:24">
      <c r="A16" t="s">
        <v>112</v>
      </c>
      <c r="B16" t="s">
        <v>115</v>
      </c>
      <c r="D16" t="s">
        <v>215</v>
      </c>
      <c r="E16" s="123" t="s">
        <v>215</v>
      </c>
      <c r="F16" s="123" t="s">
        <v>215</v>
      </c>
      <c r="G16" s="123" t="s">
        <v>215</v>
      </c>
      <c r="H16" s="123" t="s">
        <v>215</v>
      </c>
      <c r="I16" s="123" t="s">
        <v>215</v>
      </c>
      <c r="J16" s="123" t="s">
        <v>215</v>
      </c>
      <c r="K16" s="3"/>
      <c r="L16" s="123" t="s">
        <v>215</v>
      </c>
      <c r="M16" s="123" t="s">
        <v>215</v>
      </c>
      <c r="N16" s="131"/>
      <c r="O16" s="125" t="s">
        <v>215</v>
      </c>
      <c r="P16" s="131"/>
      <c r="Q16" s="125" t="s">
        <v>215</v>
      </c>
    </row>
    <row r="17" spans="1:24">
      <c r="E17" s="113" t="s">
        <v>213</v>
      </c>
      <c r="F17" s="3"/>
      <c r="G17" s="3"/>
      <c r="H17" s="3"/>
      <c r="I17" s="3"/>
      <c r="J17" s="3"/>
      <c r="K17" s="3"/>
      <c r="L17" s="113" t="s">
        <v>162</v>
      </c>
      <c r="M17" s="3"/>
      <c r="N17" s="3"/>
      <c r="Q17" t="s">
        <v>163</v>
      </c>
    </row>
    <row r="18" spans="1:24">
      <c r="B18" t="s">
        <v>84</v>
      </c>
      <c r="C18" t="s">
        <v>118</v>
      </c>
      <c r="D18" t="s">
        <v>215</v>
      </c>
      <c r="E18" s="123" t="s">
        <v>215</v>
      </c>
      <c r="F18" s="123" t="s">
        <v>215</v>
      </c>
      <c r="G18" s="123" t="s">
        <v>215</v>
      </c>
      <c r="H18" s="123" t="s">
        <v>215</v>
      </c>
      <c r="I18" s="123" t="s">
        <v>215</v>
      </c>
      <c r="J18" s="123" t="s">
        <v>215</v>
      </c>
      <c r="K18" s="3"/>
      <c r="L18" s="123" t="s">
        <v>215</v>
      </c>
      <c r="M18" s="123" t="s">
        <v>215</v>
      </c>
      <c r="N18" s="131"/>
      <c r="Q18" s="125" t="s">
        <v>215</v>
      </c>
    </row>
    <row r="19" spans="1:24">
      <c r="B19" t="s">
        <v>214</v>
      </c>
      <c r="C19" t="s">
        <v>119</v>
      </c>
      <c r="D19" t="s">
        <v>184</v>
      </c>
      <c r="E19" s="123" t="s">
        <v>184</v>
      </c>
      <c r="F19" s="123" t="s">
        <v>184</v>
      </c>
      <c r="G19" s="123" t="s">
        <v>184</v>
      </c>
      <c r="H19" s="123" t="s">
        <v>184</v>
      </c>
      <c r="I19" s="123" t="s">
        <v>184</v>
      </c>
      <c r="J19" s="123" t="s">
        <v>184</v>
      </c>
      <c r="K19" s="3"/>
      <c r="L19" s="123" t="s">
        <v>184</v>
      </c>
      <c r="M19" s="123" t="s">
        <v>184</v>
      </c>
      <c r="N19" s="131"/>
      <c r="Q19" s="125" t="s">
        <v>184</v>
      </c>
    </row>
    <row r="20" spans="1:24">
      <c r="E20" s="30" t="s">
        <v>164</v>
      </c>
      <c r="L20" t="s">
        <v>167</v>
      </c>
      <c r="S20" s="30" t="s">
        <v>134</v>
      </c>
    </row>
    <row r="21" spans="1:24">
      <c r="A21" t="s">
        <v>111</v>
      </c>
      <c r="B21" t="s">
        <v>113</v>
      </c>
      <c r="D21" t="s">
        <v>215</v>
      </c>
      <c r="E21" s="124" t="s">
        <v>216</v>
      </c>
      <c r="F21" s="124" t="s">
        <v>216</v>
      </c>
      <c r="G21" s="124" t="s">
        <v>216</v>
      </c>
      <c r="H21" s="124" t="s">
        <v>216</v>
      </c>
      <c r="I21" s="124" t="s">
        <v>216</v>
      </c>
      <c r="J21" s="124" t="s">
        <v>216</v>
      </c>
      <c r="L21" s="109" t="s">
        <v>184</v>
      </c>
      <c r="M21" s="109" t="s">
        <v>184</v>
      </c>
      <c r="N21" s="131"/>
      <c r="S21" s="122" t="s">
        <v>216</v>
      </c>
      <c r="T21" s="122" t="s">
        <v>216</v>
      </c>
      <c r="U21" s="122" t="s">
        <v>216</v>
      </c>
      <c r="V21" s="122" t="s">
        <v>216</v>
      </c>
      <c r="W21" s="122" t="s">
        <v>216</v>
      </c>
      <c r="X21" s="122" t="s">
        <v>216</v>
      </c>
    </row>
    <row r="22" spans="1:24">
      <c r="A22" t="s">
        <v>111</v>
      </c>
      <c r="B22" t="s">
        <v>114</v>
      </c>
      <c r="D22" t="s">
        <v>215</v>
      </c>
      <c r="E22" s="124" t="s">
        <v>216</v>
      </c>
      <c r="F22" s="124" t="s">
        <v>216</v>
      </c>
      <c r="G22" s="124" t="s">
        <v>216</v>
      </c>
      <c r="H22" s="124" t="s">
        <v>216</v>
      </c>
      <c r="I22" s="124" t="s">
        <v>216</v>
      </c>
      <c r="J22" s="124" t="s">
        <v>216</v>
      </c>
      <c r="L22" s="109" t="s">
        <v>184</v>
      </c>
      <c r="M22" s="109" t="s">
        <v>184</v>
      </c>
      <c r="N22" s="131"/>
      <c r="S22" s="122" t="s">
        <v>216</v>
      </c>
      <c r="T22" s="122" t="s">
        <v>216</v>
      </c>
      <c r="U22" s="122" t="s">
        <v>216</v>
      </c>
      <c r="V22" s="122" t="s">
        <v>216</v>
      </c>
      <c r="W22" s="122" t="s">
        <v>216</v>
      </c>
      <c r="X22" s="122" t="s">
        <v>216</v>
      </c>
    </row>
    <row r="23" spans="1:24">
      <c r="A23" t="s">
        <v>111</v>
      </c>
      <c r="B23" t="s">
        <v>115</v>
      </c>
      <c r="D23" t="s">
        <v>215</v>
      </c>
      <c r="E23" s="124" t="s">
        <v>216</v>
      </c>
      <c r="F23" s="124" t="s">
        <v>216</v>
      </c>
      <c r="G23" s="124" t="s">
        <v>216</v>
      </c>
      <c r="H23" s="124" t="s">
        <v>216</v>
      </c>
      <c r="I23" s="124" t="s">
        <v>216</v>
      </c>
      <c r="J23" s="124" t="s">
        <v>216</v>
      </c>
      <c r="L23" s="109" t="s">
        <v>184</v>
      </c>
      <c r="M23" s="109" t="s">
        <v>184</v>
      </c>
      <c r="N23" s="131"/>
      <c r="S23" s="122" t="s">
        <v>216</v>
      </c>
      <c r="T23" s="122" t="s">
        <v>216</v>
      </c>
      <c r="U23" s="122" t="s">
        <v>216</v>
      </c>
      <c r="V23" s="122" t="s">
        <v>216</v>
      </c>
      <c r="W23" s="122" t="s">
        <v>216</v>
      </c>
      <c r="X23" s="122" t="s">
        <v>216</v>
      </c>
    </row>
    <row r="24" spans="1:24">
      <c r="A24" t="s">
        <v>112</v>
      </c>
      <c r="B24" t="s">
        <v>113</v>
      </c>
      <c r="D24" t="s">
        <v>215</v>
      </c>
      <c r="E24" s="124" t="s">
        <v>216</v>
      </c>
      <c r="F24" s="124" t="s">
        <v>216</v>
      </c>
      <c r="G24" s="124" t="s">
        <v>216</v>
      </c>
      <c r="H24" s="124" t="s">
        <v>216</v>
      </c>
      <c r="I24" s="124" t="s">
        <v>216</v>
      </c>
      <c r="J24" s="124" t="s">
        <v>216</v>
      </c>
      <c r="L24" s="109" t="s">
        <v>184</v>
      </c>
      <c r="M24" s="109" t="s">
        <v>184</v>
      </c>
      <c r="N24" s="131"/>
      <c r="S24" s="122" t="s">
        <v>216</v>
      </c>
      <c r="T24" s="122" t="s">
        <v>216</v>
      </c>
      <c r="U24" s="122" t="s">
        <v>216</v>
      </c>
      <c r="V24" s="122" t="s">
        <v>216</v>
      </c>
      <c r="W24" s="122" t="s">
        <v>216</v>
      </c>
      <c r="X24" s="122" t="s">
        <v>216</v>
      </c>
    </row>
    <row r="25" spans="1:24">
      <c r="A25" t="s">
        <v>112</v>
      </c>
      <c r="B25" t="s">
        <v>114</v>
      </c>
      <c r="D25" t="s">
        <v>215</v>
      </c>
      <c r="E25" s="124" t="s">
        <v>216</v>
      </c>
      <c r="F25" s="124" t="s">
        <v>216</v>
      </c>
      <c r="G25" s="124" t="s">
        <v>216</v>
      </c>
      <c r="H25" s="124" t="s">
        <v>216</v>
      </c>
      <c r="I25" s="124" t="s">
        <v>216</v>
      </c>
      <c r="J25" s="124" t="s">
        <v>216</v>
      </c>
      <c r="L25" s="109" t="s">
        <v>184</v>
      </c>
      <c r="M25" s="109" t="s">
        <v>184</v>
      </c>
      <c r="N25" s="131"/>
      <c r="S25" s="122" t="s">
        <v>216</v>
      </c>
      <c r="T25" s="122" t="s">
        <v>216</v>
      </c>
      <c r="U25" s="122" t="s">
        <v>216</v>
      </c>
      <c r="V25" s="122" t="s">
        <v>216</v>
      </c>
      <c r="W25" s="122" t="s">
        <v>216</v>
      </c>
      <c r="X25" s="122" t="s">
        <v>216</v>
      </c>
    </row>
    <row r="26" spans="1:24">
      <c r="A26" t="s">
        <v>112</v>
      </c>
      <c r="B26" t="s">
        <v>115</v>
      </c>
      <c r="D26" t="s">
        <v>215</v>
      </c>
      <c r="E26" s="124" t="s">
        <v>216</v>
      </c>
      <c r="F26" s="124" t="s">
        <v>216</v>
      </c>
      <c r="G26" s="124" t="s">
        <v>216</v>
      </c>
      <c r="H26" s="124" t="s">
        <v>216</v>
      </c>
      <c r="I26" s="124" t="s">
        <v>216</v>
      </c>
      <c r="J26" s="124" t="s">
        <v>216</v>
      </c>
      <c r="L26" s="109" t="s">
        <v>184</v>
      </c>
      <c r="M26" s="109" t="s">
        <v>184</v>
      </c>
      <c r="N26" s="131"/>
      <c r="S26" s="122" t="s">
        <v>216</v>
      </c>
      <c r="T26" s="122" t="s">
        <v>216</v>
      </c>
      <c r="U26" s="122" t="s">
        <v>216</v>
      </c>
      <c r="V26" s="122" t="s">
        <v>216</v>
      </c>
      <c r="W26" s="122" t="s">
        <v>216</v>
      </c>
      <c r="X26" s="122" t="s">
        <v>216</v>
      </c>
    </row>
    <row r="27" spans="1:24">
      <c r="E27" s="30" t="s">
        <v>161</v>
      </c>
      <c r="L27" s="68" t="s">
        <v>224</v>
      </c>
    </row>
    <row r="28" spans="1:24">
      <c r="B28" t="s">
        <v>84</v>
      </c>
      <c r="C28" t="s">
        <v>118</v>
      </c>
      <c r="D28" t="s">
        <v>215</v>
      </c>
      <c r="E28" s="124" t="s">
        <v>216</v>
      </c>
      <c r="F28" s="124" t="s">
        <v>216</v>
      </c>
      <c r="G28" s="124" t="s">
        <v>216</v>
      </c>
      <c r="H28" s="124" t="s">
        <v>216</v>
      </c>
      <c r="I28" s="124" t="s">
        <v>216</v>
      </c>
      <c r="J28" s="124" t="s">
        <v>216</v>
      </c>
      <c r="L28" s="109" t="s">
        <v>184</v>
      </c>
      <c r="M28" s="109" t="s">
        <v>184</v>
      </c>
      <c r="N28" s="131"/>
    </row>
    <row r="29" spans="1:24">
      <c r="B29" t="s">
        <v>214</v>
      </c>
      <c r="C29" t="s">
        <v>119</v>
      </c>
      <c r="D29" t="s">
        <v>184</v>
      </c>
      <c r="E29" s="124" t="s">
        <v>217</v>
      </c>
      <c r="F29" s="124" t="s">
        <v>217</v>
      </c>
      <c r="G29" s="124" t="s">
        <v>217</v>
      </c>
      <c r="H29" s="124" t="s">
        <v>217</v>
      </c>
      <c r="I29" s="124" t="s">
        <v>217</v>
      </c>
      <c r="J29" s="124" t="s">
        <v>217</v>
      </c>
    </row>
    <row r="30" spans="1:24">
      <c r="E30" s="30" t="s">
        <v>221</v>
      </c>
      <c r="L30" s="68" t="s">
        <v>225</v>
      </c>
    </row>
    <row r="31" spans="1:24">
      <c r="B31" t="s">
        <v>85</v>
      </c>
      <c r="C31" t="s">
        <v>87</v>
      </c>
      <c r="D31" t="s">
        <v>215</v>
      </c>
      <c r="E31" s="124" t="s">
        <v>216</v>
      </c>
      <c r="F31" s="124" t="s">
        <v>216</v>
      </c>
      <c r="G31" s="124" t="s">
        <v>216</v>
      </c>
      <c r="H31" s="124" t="s">
        <v>216</v>
      </c>
      <c r="I31" s="124" t="s">
        <v>216</v>
      </c>
      <c r="J31" s="124" t="s">
        <v>216</v>
      </c>
      <c r="L31" s="109" t="s">
        <v>184</v>
      </c>
      <c r="M31" s="109" t="s">
        <v>184</v>
      </c>
    </row>
    <row r="32" spans="1:24">
      <c r="E32" s="30" t="s">
        <v>222</v>
      </c>
    </row>
    <row r="33" spans="1:24">
      <c r="B33" t="s">
        <v>220</v>
      </c>
      <c r="C33" t="s">
        <v>119</v>
      </c>
      <c r="D33" t="s">
        <v>184</v>
      </c>
      <c r="E33" s="124" t="s">
        <v>217</v>
      </c>
      <c r="F33" s="124" t="s">
        <v>217</v>
      </c>
      <c r="G33" s="124" t="s">
        <v>217</v>
      </c>
      <c r="H33" s="124" t="s">
        <v>217</v>
      </c>
      <c r="I33" s="124" t="s">
        <v>217</v>
      </c>
      <c r="J33" s="124" t="s">
        <v>217</v>
      </c>
    </row>
    <row r="34" spans="1:24">
      <c r="E34" s="30" t="s">
        <v>223</v>
      </c>
    </row>
    <row r="35" spans="1:24">
      <c r="B35" t="s">
        <v>220</v>
      </c>
      <c r="C35" t="s">
        <v>119</v>
      </c>
      <c r="D35" t="s">
        <v>184</v>
      </c>
      <c r="E35" s="124" t="s">
        <v>184</v>
      </c>
      <c r="F35" s="124" t="s">
        <v>184</v>
      </c>
      <c r="G35" s="124" t="s">
        <v>184</v>
      </c>
      <c r="H35" s="124" t="s">
        <v>184</v>
      </c>
      <c r="I35" s="124" t="s">
        <v>184</v>
      </c>
      <c r="J35" s="124" t="s">
        <v>184</v>
      </c>
    </row>
    <row r="38" spans="1:24" s="116" customFormat="1">
      <c r="A38" s="115" t="s">
        <v>58</v>
      </c>
    </row>
    <row r="40" spans="1:24">
      <c r="A40" s="160" t="s">
        <v>121</v>
      </c>
      <c r="B40" s="160"/>
      <c r="C40" s="160"/>
      <c r="D40" s="160"/>
      <c r="E40" s="160"/>
      <c r="F40" s="160"/>
      <c r="G40" s="160"/>
      <c r="H40" s="160"/>
      <c r="I40" s="160"/>
      <c r="J40" s="160"/>
      <c r="K40" s="160"/>
      <c r="L40" s="160"/>
      <c r="M40" s="160"/>
      <c r="N40" s="130"/>
    </row>
    <row r="41" spans="1:24">
      <c r="A41" s="160"/>
      <c r="B41" s="160"/>
      <c r="C41" s="160"/>
      <c r="D41" s="160"/>
      <c r="E41" s="160"/>
      <c r="F41" s="160"/>
      <c r="G41" s="160"/>
      <c r="H41" s="160"/>
      <c r="I41" s="160"/>
      <c r="J41" s="160"/>
      <c r="K41" s="160"/>
      <c r="L41" s="160"/>
      <c r="M41" s="160"/>
      <c r="N41" s="130"/>
    </row>
    <row r="42" spans="1:24">
      <c r="T42" s="144" t="s">
        <v>171</v>
      </c>
      <c r="U42" s="135"/>
      <c r="V42" s="84"/>
      <c r="W42" s="84"/>
      <c r="X42" s="136"/>
    </row>
    <row r="43" spans="1:24">
      <c r="E43" s="30" t="s">
        <v>71</v>
      </c>
      <c r="L43" s="30" t="s">
        <v>62</v>
      </c>
      <c r="O43" s="30" t="s">
        <v>166</v>
      </c>
      <c r="Q43" s="30" t="s">
        <v>63</v>
      </c>
      <c r="T43" s="147" t="s">
        <v>172</v>
      </c>
      <c r="X43" s="138"/>
    </row>
    <row r="44" spans="1:24">
      <c r="A44" t="s">
        <v>111</v>
      </c>
      <c r="B44" t="s">
        <v>113</v>
      </c>
      <c r="D44" t="s">
        <v>215</v>
      </c>
      <c r="E44" s="112">
        <v>54291.685732832695</v>
      </c>
      <c r="F44" s="112">
        <v>376989.73713098204</v>
      </c>
      <c r="G44" s="112">
        <v>38450.702564467378</v>
      </c>
      <c r="H44" s="112">
        <v>2955.2273047005237</v>
      </c>
      <c r="I44" s="112">
        <v>39983.232846498693</v>
      </c>
      <c r="J44" s="112">
        <v>7394.7755761480075</v>
      </c>
      <c r="K44" s="3"/>
      <c r="L44" s="112">
        <v>232354.1756868996</v>
      </c>
      <c r="M44" s="112">
        <v>19713.978867731137</v>
      </c>
      <c r="N44" s="3"/>
      <c r="O44" s="114">
        <f t="shared" ref="O44:O49" si="0">SUM(L44:M44)</f>
        <v>252068.15455463075</v>
      </c>
      <c r="Q44" s="114">
        <f>SUM(E44:J44,L44:M44)</f>
        <v>772133.51571026014</v>
      </c>
      <c r="T44" s="137"/>
      <c r="U44" s="49"/>
      <c r="V44" s="49" t="s">
        <v>139</v>
      </c>
      <c r="W44" s="49" t="s">
        <v>111</v>
      </c>
      <c r="X44" s="139" t="s">
        <v>112</v>
      </c>
    </row>
    <row r="45" spans="1:24">
      <c r="A45" t="s">
        <v>111</v>
      </c>
      <c r="B45" t="s">
        <v>114</v>
      </c>
      <c r="D45" t="s">
        <v>215</v>
      </c>
      <c r="E45" s="112">
        <v>136974.50516963948</v>
      </c>
      <c r="F45" s="112">
        <v>3910671.1045222902</v>
      </c>
      <c r="G45" s="112">
        <v>1156573.8474846038</v>
      </c>
      <c r="H45" s="112">
        <v>37765.576938851744</v>
      </c>
      <c r="I45" s="112">
        <v>705296.87528383173</v>
      </c>
      <c r="J45" s="112">
        <v>220729.97045143921</v>
      </c>
      <c r="K45" s="3"/>
      <c r="L45" s="112">
        <v>4697827.3489564899</v>
      </c>
      <c r="M45" s="112">
        <v>986934.45376322535</v>
      </c>
      <c r="N45" s="3"/>
      <c r="O45" s="114">
        <f t="shared" si="0"/>
        <v>5684761.8027197151</v>
      </c>
      <c r="Q45" s="114">
        <f t="shared" ref="Q45:Q49" si="1">SUM(E45:J45,L45:M45)</f>
        <v>11852773.682570372</v>
      </c>
      <c r="T45" s="137"/>
      <c r="U45" s="120" t="s">
        <v>80</v>
      </c>
      <c r="V45" s="107">
        <f>Q52/1000000</f>
        <v>33.071125300307948</v>
      </c>
      <c r="W45" s="107">
        <f>SUM(E52:G52,L52)/1000000</f>
        <v>3.4423252140832266</v>
      </c>
      <c r="X45" s="146">
        <f>V45-W45</f>
        <v>29.628800086224722</v>
      </c>
    </row>
    <row r="46" spans="1:24">
      <c r="A46" t="s">
        <v>111</v>
      </c>
      <c r="B46" t="s">
        <v>115</v>
      </c>
      <c r="D46" t="s">
        <v>215</v>
      </c>
      <c r="E46" s="112">
        <v>144971.1227729953</v>
      </c>
      <c r="F46" s="112">
        <v>2395932.3129548943</v>
      </c>
      <c r="G46" s="112">
        <v>5313275.6937324386</v>
      </c>
      <c r="H46" s="112">
        <v>21620.252342298671</v>
      </c>
      <c r="I46" s="112">
        <v>129409.78598848282</v>
      </c>
      <c r="J46" s="112">
        <v>275425.19752745191</v>
      </c>
      <c r="K46" s="3"/>
      <c r="L46" s="112">
        <v>10180228.54226118</v>
      </c>
      <c r="M46" s="112">
        <v>318899.3702976341</v>
      </c>
      <c r="N46" s="3"/>
      <c r="O46" s="114">
        <f t="shared" si="0"/>
        <v>10499127.912558815</v>
      </c>
      <c r="Q46" s="114">
        <f t="shared" si="1"/>
        <v>18779762.277877375</v>
      </c>
      <c r="T46" s="137"/>
      <c r="U46" s="140" t="s">
        <v>169</v>
      </c>
      <c r="V46" s="49">
        <v>37.04</v>
      </c>
      <c r="W46" s="49">
        <v>2.9</v>
      </c>
      <c r="X46" s="139">
        <f>V46-W46</f>
        <v>34.14</v>
      </c>
    </row>
    <row r="47" spans="1:24">
      <c r="A47" t="s">
        <v>112</v>
      </c>
      <c r="B47" t="s">
        <v>113</v>
      </c>
      <c r="D47" t="s">
        <v>215</v>
      </c>
      <c r="E47" s="112">
        <v>13329.934661379451</v>
      </c>
      <c r="F47" s="112">
        <v>240514.70557321489</v>
      </c>
      <c r="G47" s="112">
        <v>11527.298518123975</v>
      </c>
      <c r="H47" s="112">
        <v>757814.0404756628</v>
      </c>
      <c r="I47" s="112">
        <v>4537018.7125669392</v>
      </c>
      <c r="J47" s="112">
        <v>549701.76202604745</v>
      </c>
      <c r="K47" s="3"/>
      <c r="L47" s="112">
        <v>81284.073334100307</v>
      </c>
      <c r="M47" s="112">
        <v>1960204.4539076979</v>
      </c>
      <c r="N47" s="3"/>
      <c r="O47" s="114">
        <f t="shared" si="0"/>
        <v>2041488.5272417981</v>
      </c>
      <c r="Q47" s="114">
        <f t="shared" si="1"/>
        <v>8151394.9810631666</v>
      </c>
      <c r="T47" s="137"/>
      <c r="X47" s="138"/>
    </row>
    <row r="48" spans="1:24">
      <c r="A48" t="s">
        <v>112</v>
      </c>
      <c r="B48" t="s">
        <v>114</v>
      </c>
      <c r="D48" t="s">
        <v>215</v>
      </c>
      <c r="E48" s="112">
        <v>16921.961082125614</v>
      </c>
      <c r="F48" s="112">
        <v>577654.70396163105</v>
      </c>
      <c r="G48" s="112">
        <v>152492.55139669325</v>
      </c>
      <c r="H48" s="112">
        <v>1011662.1912283089</v>
      </c>
      <c r="I48" s="112">
        <v>22200553.07932099</v>
      </c>
      <c r="J48" s="112">
        <v>6163619.0203359704</v>
      </c>
      <c r="K48" s="3"/>
      <c r="L48" s="112">
        <v>588384.96870039823</v>
      </c>
      <c r="M48" s="112">
        <v>21737840.45649457</v>
      </c>
      <c r="N48" s="3"/>
      <c r="O48" s="114">
        <f t="shared" si="0"/>
        <v>22326225.425194968</v>
      </c>
      <c r="Q48" s="114">
        <f t="shared" si="1"/>
        <v>52449128.932520688</v>
      </c>
      <c r="T48" s="137"/>
      <c r="U48" s="145" t="s">
        <v>170</v>
      </c>
      <c r="V48" s="148">
        <f>(V45-V46)/V45</f>
        <v>-0.1200102707014658</v>
      </c>
      <c r="W48" s="148">
        <f>(W45-W46)/W45</f>
        <v>0.15754618763633024</v>
      </c>
      <c r="X48" s="149">
        <f>(X45-X46)/X45</f>
        <v>-0.15225725985010999</v>
      </c>
    </row>
    <row r="49" spans="1:24">
      <c r="A49" t="s">
        <v>112</v>
      </c>
      <c r="B49" t="s">
        <v>115</v>
      </c>
      <c r="D49" t="s">
        <v>215</v>
      </c>
      <c r="E49" s="112">
        <v>5220.5005934901565</v>
      </c>
      <c r="F49" s="112">
        <v>117913.03003591206</v>
      </c>
      <c r="G49" s="112">
        <v>254337.89954585498</v>
      </c>
      <c r="H49" s="112">
        <v>1335712.6220203494</v>
      </c>
      <c r="I49" s="112">
        <v>8833833.2360040955</v>
      </c>
      <c r="J49" s="112">
        <v>17168682.180807687</v>
      </c>
      <c r="K49" s="3"/>
      <c r="L49" s="112">
        <v>220533.24057164317</v>
      </c>
      <c r="M49" s="112">
        <v>37086791.656861275</v>
      </c>
      <c r="N49" s="3"/>
      <c r="O49" s="114">
        <f t="shared" si="0"/>
        <v>37307324.897432916</v>
      </c>
      <c r="Q49" s="114">
        <f t="shared" si="1"/>
        <v>65023024.366440311</v>
      </c>
      <c r="T49" s="141"/>
      <c r="U49" s="142"/>
      <c r="V49" s="142"/>
      <c r="W49" s="142"/>
      <c r="X49" s="143"/>
    </row>
    <row r="50" spans="1:24">
      <c r="E50" s="113" t="s">
        <v>72</v>
      </c>
      <c r="F50" s="3"/>
      <c r="G50" s="3"/>
      <c r="H50" s="3"/>
      <c r="I50" s="3"/>
      <c r="J50" s="3"/>
      <c r="K50" s="3"/>
      <c r="L50" s="113" t="s">
        <v>117</v>
      </c>
      <c r="M50" s="3"/>
      <c r="N50" s="3"/>
      <c r="Q50" s="30" t="s">
        <v>133</v>
      </c>
    </row>
    <row r="51" spans="1:24">
      <c r="C51" t="s">
        <v>118</v>
      </c>
      <c r="D51" t="s">
        <v>215</v>
      </c>
      <c r="E51" s="112">
        <v>400423.80657103128</v>
      </c>
      <c r="F51" s="112">
        <v>4233098.0868645748</v>
      </c>
      <c r="G51" s="112">
        <v>11853104.284635223</v>
      </c>
      <c r="H51" s="112">
        <v>4983865.0700973524</v>
      </c>
      <c r="I51" s="112">
        <v>16003034.008012878</v>
      </c>
      <c r="J51" s="112">
        <v>40637471.461263962</v>
      </c>
      <c r="K51" s="3"/>
      <c r="L51" s="112">
        <v>0</v>
      </c>
      <c r="M51" s="112">
        <v>0</v>
      </c>
      <c r="N51" s="3"/>
      <c r="Q51" s="114">
        <f t="shared" ref="Q51:Q52" si="2">SUM(E51:J51,L51:M51)</f>
        <v>78110996.717445016</v>
      </c>
    </row>
    <row r="52" spans="1:24">
      <c r="C52" t="s">
        <v>119</v>
      </c>
      <c r="D52" t="s">
        <v>184</v>
      </c>
      <c r="E52" s="112">
        <v>180661.49852467977</v>
      </c>
      <c r="F52" s="112">
        <v>1737855.9797390804</v>
      </c>
      <c r="G52" s="112">
        <v>819250.75483231572</v>
      </c>
      <c r="H52" s="112">
        <v>2795038.163617319</v>
      </c>
      <c r="I52" s="112">
        <v>19887557.215752557</v>
      </c>
      <c r="J52" s="112">
        <v>3210803.2972509391</v>
      </c>
      <c r="K52" s="3"/>
      <c r="L52" s="112">
        <v>704556.98098715034</v>
      </c>
      <c r="M52" s="112">
        <v>3735401.4096039101</v>
      </c>
      <c r="N52" s="3"/>
      <c r="Q52" s="114">
        <f t="shared" si="2"/>
        <v>33071125.300307948</v>
      </c>
    </row>
    <row r="53" spans="1:24">
      <c r="E53" s="30" t="s">
        <v>57</v>
      </c>
      <c r="P53" s="30"/>
      <c r="S53" s="30" t="s">
        <v>73</v>
      </c>
    </row>
    <row r="54" spans="1:24">
      <c r="A54" t="s">
        <v>111</v>
      </c>
      <c r="B54" t="s">
        <v>113</v>
      </c>
      <c r="D54" t="s">
        <v>215</v>
      </c>
      <c r="E54" s="118"/>
      <c r="F54" s="118"/>
      <c r="G54" s="118"/>
      <c r="H54" s="118"/>
      <c r="I54" s="118"/>
      <c r="J54" s="118"/>
      <c r="P54" s="3"/>
      <c r="S54" s="119">
        <f t="array" ref="S54:X59">MINVERSE(_xlfn.MUNIT(6)-E54:J59)</f>
        <v>1</v>
      </c>
      <c r="T54" s="119">
        <v>0</v>
      </c>
      <c r="U54" s="119">
        <v>0</v>
      </c>
      <c r="V54" s="119">
        <v>0</v>
      </c>
      <c r="W54" s="119">
        <v>0</v>
      </c>
      <c r="X54" s="119">
        <v>0</v>
      </c>
    </row>
    <row r="55" spans="1:24">
      <c r="A55" t="s">
        <v>111</v>
      </c>
      <c r="B55" t="s">
        <v>114</v>
      </c>
      <c r="D55" t="s">
        <v>215</v>
      </c>
      <c r="E55" s="118"/>
      <c r="F55" s="118"/>
      <c r="G55" s="118"/>
      <c r="H55" s="118"/>
      <c r="I55" s="118"/>
      <c r="J55" s="118"/>
      <c r="P55" s="3"/>
      <c r="S55" s="119">
        <v>0</v>
      </c>
      <c r="T55" s="119">
        <v>1</v>
      </c>
      <c r="U55" s="119">
        <v>0</v>
      </c>
      <c r="V55" s="119">
        <v>0</v>
      </c>
      <c r="W55" s="119">
        <v>0</v>
      </c>
      <c r="X55" s="119">
        <v>0</v>
      </c>
    </row>
    <row r="56" spans="1:24">
      <c r="A56" t="s">
        <v>111</v>
      </c>
      <c r="B56" t="s">
        <v>115</v>
      </c>
      <c r="D56" t="s">
        <v>215</v>
      </c>
      <c r="E56" s="118"/>
      <c r="F56" s="118"/>
      <c r="G56" s="118"/>
      <c r="H56" s="118"/>
      <c r="I56" s="118"/>
      <c r="J56" s="118"/>
      <c r="P56" s="3"/>
      <c r="S56" s="119">
        <v>0</v>
      </c>
      <c r="T56" s="119">
        <v>0</v>
      </c>
      <c r="U56" s="119">
        <v>1</v>
      </c>
      <c r="V56" s="119">
        <v>0</v>
      </c>
      <c r="W56" s="119">
        <v>0</v>
      </c>
      <c r="X56" s="119">
        <v>0</v>
      </c>
    </row>
    <row r="57" spans="1:24">
      <c r="A57" t="s">
        <v>112</v>
      </c>
      <c r="B57" t="s">
        <v>113</v>
      </c>
      <c r="D57" t="s">
        <v>215</v>
      </c>
      <c r="E57" s="118"/>
      <c r="F57" s="118"/>
      <c r="G57" s="118"/>
      <c r="H57" s="118"/>
      <c r="I57" s="118"/>
      <c r="J57" s="118"/>
      <c r="P57" s="3"/>
      <c r="S57" s="119">
        <v>0</v>
      </c>
      <c r="T57" s="119">
        <v>0</v>
      </c>
      <c r="U57" s="119">
        <v>0</v>
      </c>
      <c r="V57" s="119">
        <v>1</v>
      </c>
      <c r="W57" s="119">
        <v>0</v>
      </c>
      <c r="X57" s="119">
        <v>0</v>
      </c>
    </row>
    <row r="58" spans="1:24">
      <c r="A58" t="s">
        <v>112</v>
      </c>
      <c r="B58" t="s">
        <v>114</v>
      </c>
      <c r="D58" t="s">
        <v>215</v>
      </c>
      <c r="E58" s="118"/>
      <c r="F58" s="118"/>
      <c r="G58" s="118"/>
      <c r="H58" s="118"/>
      <c r="I58" s="118"/>
      <c r="J58" s="118"/>
      <c r="P58" s="3"/>
      <c r="S58" s="119">
        <v>0</v>
      </c>
      <c r="T58" s="119">
        <v>0</v>
      </c>
      <c r="U58" s="119">
        <v>0</v>
      </c>
      <c r="V58" s="119">
        <v>0</v>
      </c>
      <c r="W58" s="119">
        <v>1</v>
      </c>
      <c r="X58" s="119">
        <v>0</v>
      </c>
    </row>
    <row r="59" spans="1:24">
      <c r="A59" t="s">
        <v>112</v>
      </c>
      <c r="B59" t="s">
        <v>115</v>
      </c>
      <c r="D59" t="s">
        <v>215</v>
      </c>
      <c r="E59" s="118"/>
      <c r="F59" s="118"/>
      <c r="G59" s="118"/>
      <c r="H59" s="118"/>
      <c r="I59" s="118"/>
      <c r="J59" s="118"/>
      <c r="P59" s="3"/>
      <c r="S59" s="119">
        <v>0</v>
      </c>
      <c r="T59" s="119">
        <v>0</v>
      </c>
      <c r="U59" s="119">
        <v>0</v>
      </c>
      <c r="V59" s="119">
        <v>0</v>
      </c>
      <c r="W59" s="119">
        <v>0</v>
      </c>
      <c r="X59" s="119">
        <v>1</v>
      </c>
    </row>
    <row r="60" spans="1:24">
      <c r="E60" s="30" t="s">
        <v>61</v>
      </c>
    </row>
    <row r="61" spans="1:24">
      <c r="C61" t="s">
        <v>118</v>
      </c>
      <c r="D61" t="s">
        <v>215</v>
      </c>
      <c r="E61" s="118"/>
      <c r="F61" s="118"/>
      <c r="G61" s="118"/>
      <c r="H61" s="118"/>
      <c r="I61" s="118"/>
      <c r="J61" s="118"/>
      <c r="L61" t="s">
        <v>123</v>
      </c>
    </row>
    <row r="62" spans="1:24">
      <c r="C62" t="s">
        <v>119</v>
      </c>
      <c r="D62" t="s">
        <v>184</v>
      </c>
      <c r="E62" s="118"/>
      <c r="F62" s="118"/>
      <c r="G62" s="118"/>
      <c r="H62" s="118"/>
      <c r="I62" s="118"/>
      <c r="J62" s="118"/>
    </row>
    <row r="63" spans="1:24">
      <c r="E63" s="30" t="s">
        <v>85</v>
      </c>
    </row>
    <row r="64" spans="1:24">
      <c r="C64" t="s">
        <v>87</v>
      </c>
      <c r="D64" t="s">
        <v>215</v>
      </c>
      <c r="E64" s="118"/>
      <c r="F64" s="118"/>
      <c r="G64" s="118"/>
      <c r="H64" s="118"/>
      <c r="I64" s="118"/>
      <c r="J64" s="118"/>
      <c r="L64" t="s">
        <v>124</v>
      </c>
      <c r="O64" s="30" t="s">
        <v>165</v>
      </c>
      <c r="P64" s="30"/>
    </row>
    <row r="65" spans="1:19">
      <c r="E65" s="30" t="s">
        <v>220</v>
      </c>
    </row>
    <row r="66" spans="1:19">
      <c r="C66" t="s">
        <v>119</v>
      </c>
      <c r="D66" t="s">
        <v>184</v>
      </c>
      <c r="E66" s="118"/>
      <c r="F66" s="118"/>
      <c r="G66" s="118"/>
      <c r="H66" s="118"/>
      <c r="I66" s="118"/>
      <c r="J66" s="118"/>
    </row>
    <row r="68" spans="1:19">
      <c r="E68" s="30" t="s">
        <v>232</v>
      </c>
    </row>
    <row r="69" spans="1:19">
      <c r="A69" t="s">
        <v>111</v>
      </c>
      <c r="B69" t="s">
        <v>113</v>
      </c>
      <c r="C69" t="s">
        <v>119</v>
      </c>
      <c r="D69" t="s">
        <v>184</v>
      </c>
      <c r="E69" s="118" cm="1">
        <f t="array" ref="E69:J74">MMULT(_xlfn.MUNIT(6)*E62:J62,S54:X59)</f>
        <v>0</v>
      </c>
      <c r="F69" s="118">
        <v>0</v>
      </c>
      <c r="G69" s="118">
        <v>0</v>
      </c>
      <c r="H69" s="118">
        <v>0</v>
      </c>
      <c r="I69" s="118">
        <v>0</v>
      </c>
      <c r="J69" s="118">
        <v>0</v>
      </c>
      <c r="L69" s="1" t="s">
        <v>218</v>
      </c>
    </row>
    <row r="70" spans="1:19">
      <c r="A70" t="s">
        <v>111</v>
      </c>
      <c r="B70" t="s">
        <v>114</v>
      </c>
      <c r="C70" t="s">
        <v>119</v>
      </c>
      <c r="D70" t="s">
        <v>184</v>
      </c>
      <c r="E70" s="118">
        <v>0</v>
      </c>
      <c r="F70" s="118">
        <v>0</v>
      </c>
      <c r="G70" s="118">
        <v>0</v>
      </c>
      <c r="H70" s="118">
        <v>0</v>
      </c>
      <c r="I70" s="118">
        <v>0</v>
      </c>
      <c r="J70" s="118">
        <v>0</v>
      </c>
    </row>
    <row r="71" spans="1:19">
      <c r="A71" t="s">
        <v>111</v>
      </c>
      <c r="B71" t="s">
        <v>115</v>
      </c>
      <c r="C71" t="s">
        <v>119</v>
      </c>
      <c r="D71" t="s">
        <v>184</v>
      </c>
      <c r="E71" s="118">
        <v>0</v>
      </c>
      <c r="F71" s="118">
        <v>0</v>
      </c>
      <c r="G71" s="118">
        <v>0</v>
      </c>
      <c r="H71" s="118">
        <v>0</v>
      </c>
      <c r="I71" s="118">
        <v>0</v>
      </c>
      <c r="J71" s="118">
        <v>0</v>
      </c>
    </row>
    <row r="72" spans="1:19">
      <c r="A72" t="s">
        <v>112</v>
      </c>
      <c r="B72" t="s">
        <v>113</v>
      </c>
      <c r="C72" t="s">
        <v>119</v>
      </c>
      <c r="D72" t="s">
        <v>184</v>
      </c>
      <c r="E72" s="118">
        <v>0</v>
      </c>
      <c r="F72" s="118">
        <v>0</v>
      </c>
      <c r="G72" s="118">
        <v>0</v>
      </c>
      <c r="H72" s="118">
        <v>0</v>
      </c>
      <c r="I72" s="118">
        <v>0</v>
      </c>
      <c r="J72" s="118">
        <v>0</v>
      </c>
    </row>
    <row r="73" spans="1:19">
      <c r="A73" t="s">
        <v>112</v>
      </c>
      <c r="B73" t="s">
        <v>114</v>
      </c>
      <c r="C73" t="s">
        <v>119</v>
      </c>
      <c r="D73" t="s">
        <v>184</v>
      </c>
      <c r="E73" s="118">
        <v>0</v>
      </c>
      <c r="F73" s="118">
        <v>0</v>
      </c>
      <c r="G73" s="118">
        <v>0</v>
      </c>
      <c r="H73" s="118">
        <v>0</v>
      </c>
      <c r="I73" s="118">
        <v>0</v>
      </c>
      <c r="J73" s="118">
        <v>0</v>
      </c>
    </row>
    <row r="74" spans="1:19">
      <c r="A74" t="s">
        <v>112</v>
      </c>
      <c r="B74" t="s">
        <v>115</v>
      </c>
      <c r="C74" t="s">
        <v>119</v>
      </c>
      <c r="D74" t="s">
        <v>184</v>
      </c>
      <c r="E74" s="118">
        <v>0</v>
      </c>
      <c r="F74" s="118">
        <v>0</v>
      </c>
      <c r="G74" s="118">
        <v>0</v>
      </c>
      <c r="H74" s="118">
        <v>0</v>
      </c>
      <c r="I74" s="118">
        <v>0</v>
      </c>
      <c r="J74" s="118">
        <v>0</v>
      </c>
    </row>
    <row r="76" spans="1:19">
      <c r="C76" t="s">
        <v>119</v>
      </c>
      <c r="D76" t="s">
        <v>184</v>
      </c>
      <c r="E76" s="88">
        <f>SUM(E69:E74)</f>
        <v>0</v>
      </c>
      <c r="F76" s="88">
        <f t="shared" ref="F76:J76" si="3">SUM(F69:F74)</f>
        <v>0</v>
      </c>
      <c r="G76" s="88">
        <f t="shared" si="3"/>
        <v>0</v>
      </c>
      <c r="H76" s="88">
        <f t="shared" si="3"/>
        <v>0</v>
      </c>
      <c r="I76" s="88">
        <f t="shared" si="3"/>
        <v>0</v>
      </c>
      <c r="J76" s="88">
        <f t="shared" si="3"/>
        <v>0</v>
      </c>
      <c r="L76" t="s">
        <v>219</v>
      </c>
    </row>
    <row r="78" spans="1:19">
      <c r="A78" t="s">
        <v>178</v>
      </c>
    </row>
    <row r="80" spans="1:19">
      <c r="L80" s="30" t="s">
        <v>233</v>
      </c>
      <c r="Q80" s="132" t="s">
        <v>111</v>
      </c>
      <c r="R80" s="132"/>
      <c r="S80" s="132" t="s">
        <v>112</v>
      </c>
    </row>
    <row r="81" spans="1:21">
      <c r="A81" t="s">
        <v>111</v>
      </c>
      <c r="B81" t="s">
        <v>113</v>
      </c>
      <c r="C81" t="s">
        <v>119</v>
      </c>
      <c r="D81" t="s">
        <v>184</v>
      </c>
      <c r="I81" s="3"/>
      <c r="J81" s="3"/>
      <c r="L81" s="134">
        <f t="array" ref="L81:M86">MMULT(_xlfn.MUNIT(6)*E66:J66,L44:M49)</f>
        <v>0</v>
      </c>
      <c r="M81" s="134">
        <v>0</v>
      </c>
      <c r="N81" s="3"/>
      <c r="O81" s="120" t="s">
        <v>111</v>
      </c>
      <c r="Q81" s="133">
        <f>SUM(L81:L83)</f>
        <v>0</v>
      </c>
      <c r="R81" s="131" t="s">
        <v>148</v>
      </c>
      <c r="S81" s="133">
        <f>SUM(M81:M83)</f>
        <v>0</v>
      </c>
      <c r="T81" s="49" t="s">
        <v>149</v>
      </c>
      <c r="U81" s="133">
        <f>SUM(Q81:S81)</f>
        <v>0</v>
      </c>
    </row>
    <row r="82" spans="1:21">
      <c r="A82" t="s">
        <v>111</v>
      </c>
      <c r="B82" t="s">
        <v>114</v>
      </c>
      <c r="C82" t="s">
        <v>119</v>
      </c>
      <c r="D82" t="s">
        <v>184</v>
      </c>
      <c r="L82" s="134">
        <v>0</v>
      </c>
      <c r="M82" s="134">
        <v>0</v>
      </c>
      <c r="N82" s="3"/>
      <c r="O82" s="120"/>
      <c r="Q82" s="131" t="s">
        <v>148</v>
      </c>
      <c r="R82" s="131"/>
      <c r="S82" s="131" t="s">
        <v>148</v>
      </c>
      <c r="T82" s="49"/>
      <c r="U82" s="131"/>
    </row>
    <row r="83" spans="1:21">
      <c r="A83" t="s">
        <v>111</v>
      </c>
      <c r="B83" t="s">
        <v>115</v>
      </c>
      <c r="C83" t="s">
        <v>119</v>
      </c>
      <c r="D83" t="s">
        <v>184</v>
      </c>
      <c r="L83" s="134">
        <v>0</v>
      </c>
      <c r="M83" s="134">
        <v>0</v>
      </c>
      <c r="N83" s="3"/>
      <c r="O83" s="120" t="s">
        <v>112</v>
      </c>
      <c r="Q83" s="133">
        <f>SUM(L84:L86)</f>
        <v>0</v>
      </c>
      <c r="R83" s="131" t="s">
        <v>148</v>
      </c>
      <c r="S83" s="133">
        <f>SUM(M84:M86)</f>
        <v>0</v>
      </c>
      <c r="T83" s="49" t="s">
        <v>149</v>
      </c>
      <c r="U83" s="133">
        <f>SUM(Q83:S83)</f>
        <v>0</v>
      </c>
    </row>
    <row r="84" spans="1:21">
      <c r="A84" t="s">
        <v>112</v>
      </c>
      <c r="B84" t="s">
        <v>113</v>
      </c>
      <c r="C84" t="s">
        <v>119</v>
      </c>
      <c r="D84" t="s">
        <v>184</v>
      </c>
      <c r="L84" s="134">
        <v>0</v>
      </c>
      <c r="M84" s="134">
        <v>0</v>
      </c>
      <c r="N84" s="3"/>
      <c r="Q84" s="49" t="s">
        <v>149</v>
      </c>
      <c r="R84" s="49"/>
      <c r="S84" s="49" t="s">
        <v>149</v>
      </c>
    </row>
    <row r="85" spans="1:21">
      <c r="A85" t="s">
        <v>112</v>
      </c>
      <c r="B85" t="s">
        <v>114</v>
      </c>
      <c r="C85" t="s">
        <v>119</v>
      </c>
      <c r="D85" t="s">
        <v>184</v>
      </c>
      <c r="L85" s="134">
        <v>0</v>
      </c>
      <c r="M85" s="134">
        <v>0</v>
      </c>
      <c r="N85" s="3"/>
      <c r="Q85" s="133">
        <f>SUM(Q81:Q83)</f>
        <v>0</v>
      </c>
      <c r="R85" s="131"/>
      <c r="S85" s="133">
        <f>SUM(S81:S83)</f>
        <v>0</v>
      </c>
    </row>
    <row r="86" spans="1:21">
      <c r="A86" t="s">
        <v>112</v>
      </c>
      <c r="B86" t="s">
        <v>115</v>
      </c>
      <c r="C86" t="s">
        <v>119</v>
      </c>
      <c r="D86" t="s">
        <v>184</v>
      </c>
      <c r="L86" s="134">
        <v>0</v>
      </c>
      <c r="M86" s="134">
        <v>0</v>
      </c>
      <c r="N86" s="3"/>
    </row>
    <row r="87" spans="1:21">
      <c r="E87" s="30" t="s">
        <v>226</v>
      </c>
      <c r="L87" s="68" t="s">
        <v>230</v>
      </c>
    </row>
    <row r="88" spans="1:21">
      <c r="C88" t="s">
        <v>119</v>
      </c>
      <c r="D88" t="s">
        <v>184</v>
      </c>
      <c r="E88" s="134" t="e">
        <f t="array" ref="E88:J88">MMULT(E66:J66,_xlfn.MUNIT(6)*O44:O49)</f>
        <v>#VALUE!</v>
      </c>
      <c r="F88" s="134" t="e">
        <v>#VALUE!</v>
      </c>
      <c r="G88" s="134" t="e">
        <v>#VALUE!</v>
      </c>
      <c r="H88" s="134" t="e">
        <v>#VALUE!</v>
      </c>
      <c r="I88" s="134" t="e">
        <v>#VALUE!</v>
      </c>
      <c r="J88" s="134" t="e">
        <v>#VALUE!</v>
      </c>
      <c r="L88" s="134">
        <f>SUM(L81:L86)</f>
        <v>0</v>
      </c>
      <c r="M88" s="134">
        <f>SUM(M81:M86)</f>
        <v>0</v>
      </c>
      <c r="N88" s="3"/>
      <c r="O88" t="s">
        <v>125</v>
      </c>
    </row>
    <row r="90" spans="1:21">
      <c r="A90" s="160" t="s">
        <v>129</v>
      </c>
      <c r="B90" s="160"/>
      <c r="C90" s="160"/>
      <c r="D90" s="160"/>
      <c r="E90" s="160"/>
      <c r="F90" s="160"/>
      <c r="G90" s="160"/>
      <c r="H90" s="160"/>
      <c r="I90" s="160"/>
    </row>
    <row r="91" spans="1:21">
      <c r="A91" s="160"/>
      <c r="B91" s="160"/>
      <c r="C91" s="160"/>
      <c r="D91" s="160"/>
      <c r="E91" s="160"/>
      <c r="F91" s="160"/>
      <c r="G91" s="160"/>
      <c r="H91" s="160"/>
      <c r="I91" s="160"/>
    </row>
    <row r="92" spans="1:21">
      <c r="A92" s="160"/>
      <c r="B92" s="160"/>
      <c r="C92" s="160"/>
      <c r="D92" s="160"/>
      <c r="E92" s="160"/>
      <c r="F92" s="160"/>
      <c r="G92" s="160"/>
      <c r="H92" s="160"/>
      <c r="I92" s="160"/>
    </row>
    <row r="94" spans="1:21">
      <c r="C94" t="s">
        <v>119</v>
      </c>
      <c r="D94" t="s">
        <v>184</v>
      </c>
      <c r="K94" s="121" t="s">
        <v>173</v>
      </c>
      <c r="L94" s="134">
        <f>SUM(E52:G52)</f>
        <v>2737768.2330960762</v>
      </c>
      <c r="M94" s="134">
        <f>SUM(H52:J52)</f>
        <v>25893398.676620815</v>
      </c>
      <c r="N94" s="3"/>
      <c r="O94" t="s">
        <v>126</v>
      </c>
    </row>
    <row r="96" spans="1:21">
      <c r="C96" t="s">
        <v>119</v>
      </c>
      <c r="D96" t="s">
        <v>184</v>
      </c>
      <c r="K96" s="121" t="s">
        <v>128</v>
      </c>
      <c r="L96" s="134">
        <f>L88-L94</f>
        <v>-2737768.2330960762</v>
      </c>
      <c r="M96" s="134">
        <f>M88-M94</f>
        <v>-25893398.676620815</v>
      </c>
      <c r="N96" s="3"/>
      <c r="O96" t="s">
        <v>127</v>
      </c>
    </row>
  </sheetData>
  <mergeCells count="3">
    <mergeCell ref="A1:M2"/>
    <mergeCell ref="A40:M41"/>
    <mergeCell ref="A90:I92"/>
  </mergeCells>
  <conditionalFormatting sqref="E69:E74">
    <cfRule type="dataBar" priority="6">
      <dataBar>
        <cfvo type="min"/>
        <cfvo type="max"/>
        <color rgb="FF63C384"/>
      </dataBar>
      <extLst>
        <ext xmlns:x14="http://schemas.microsoft.com/office/spreadsheetml/2009/9/main" uri="{B025F937-C7B1-47D3-B67F-A62EFF666E3E}">
          <x14:id>{704979DD-279B-B74C-B235-5D00D5EA8159}</x14:id>
        </ext>
      </extLst>
    </cfRule>
  </conditionalFormatting>
  <conditionalFormatting sqref="F69:F74">
    <cfRule type="dataBar" priority="5">
      <dataBar>
        <cfvo type="min"/>
        <cfvo type="max"/>
        <color rgb="FF63C384"/>
      </dataBar>
      <extLst>
        <ext xmlns:x14="http://schemas.microsoft.com/office/spreadsheetml/2009/9/main" uri="{B025F937-C7B1-47D3-B67F-A62EFF666E3E}">
          <x14:id>{CA345782-1138-5841-967E-6B4F979E81DE}</x14:id>
        </ext>
      </extLst>
    </cfRule>
  </conditionalFormatting>
  <conditionalFormatting sqref="G69:G74">
    <cfRule type="dataBar" priority="4">
      <dataBar>
        <cfvo type="min"/>
        <cfvo type="max"/>
        <color rgb="FF63C384"/>
      </dataBar>
      <extLst>
        <ext xmlns:x14="http://schemas.microsoft.com/office/spreadsheetml/2009/9/main" uri="{B025F937-C7B1-47D3-B67F-A62EFF666E3E}">
          <x14:id>{447CCFCD-851F-2443-B858-6164DD596CDE}</x14:id>
        </ext>
      </extLst>
    </cfRule>
  </conditionalFormatting>
  <conditionalFormatting sqref="H69:H74">
    <cfRule type="dataBar" priority="3">
      <dataBar>
        <cfvo type="min"/>
        <cfvo type="max"/>
        <color rgb="FF63C384"/>
      </dataBar>
      <extLst>
        <ext xmlns:x14="http://schemas.microsoft.com/office/spreadsheetml/2009/9/main" uri="{B025F937-C7B1-47D3-B67F-A62EFF666E3E}">
          <x14:id>{F4C530E2-55BD-084E-8B05-D7F4BF2AA97C}</x14:id>
        </ext>
      </extLst>
    </cfRule>
  </conditionalFormatting>
  <conditionalFormatting sqref="I69:I74">
    <cfRule type="dataBar" priority="2">
      <dataBar>
        <cfvo type="min"/>
        <cfvo type="max"/>
        <color rgb="FF63C384"/>
      </dataBar>
      <extLst>
        <ext xmlns:x14="http://schemas.microsoft.com/office/spreadsheetml/2009/9/main" uri="{B025F937-C7B1-47D3-B67F-A62EFF666E3E}">
          <x14:id>{9CE04909-D403-E345-A90B-CF4937EDA67A}</x14:id>
        </ext>
      </extLst>
    </cfRule>
  </conditionalFormatting>
  <conditionalFormatting sqref="J69:J74">
    <cfRule type="dataBar" priority="1">
      <dataBar>
        <cfvo type="min"/>
        <cfvo type="max"/>
        <color rgb="FF63C384"/>
      </dataBar>
      <extLst>
        <ext xmlns:x14="http://schemas.microsoft.com/office/spreadsheetml/2009/9/main" uri="{B025F937-C7B1-47D3-B67F-A62EFF666E3E}">
          <x14:id>{C4326158-624F-B042-9033-76E7799F1899}</x14:id>
        </ext>
      </extLst>
    </cfRule>
  </conditionalFormatting>
  <hyperlinks>
    <hyperlink ref="U46" r:id="rId1" xr:uid="{B682377D-078B-9443-9614-252B43929597}"/>
  </hyperlinks>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704979DD-279B-B74C-B235-5D00D5EA8159}">
            <x14:dataBar minLength="0" maxLength="100" gradient="0">
              <x14:cfvo type="autoMin"/>
              <x14:cfvo type="autoMax"/>
              <x14:negativeFillColor rgb="FFFF0000"/>
              <x14:axisColor rgb="FF000000"/>
            </x14:dataBar>
          </x14:cfRule>
          <xm:sqref>E69:E74</xm:sqref>
        </x14:conditionalFormatting>
        <x14:conditionalFormatting xmlns:xm="http://schemas.microsoft.com/office/excel/2006/main">
          <x14:cfRule type="dataBar" id="{CA345782-1138-5841-967E-6B4F979E81DE}">
            <x14:dataBar minLength="0" maxLength="100" gradient="0">
              <x14:cfvo type="autoMin"/>
              <x14:cfvo type="autoMax"/>
              <x14:negativeFillColor rgb="FFFF0000"/>
              <x14:axisColor rgb="FF000000"/>
            </x14:dataBar>
          </x14:cfRule>
          <xm:sqref>F69:F74</xm:sqref>
        </x14:conditionalFormatting>
        <x14:conditionalFormatting xmlns:xm="http://schemas.microsoft.com/office/excel/2006/main">
          <x14:cfRule type="dataBar" id="{447CCFCD-851F-2443-B858-6164DD596CDE}">
            <x14:dataBar minLength="0" maxLength="100" gradient="0">
              <x14:cfvo type="autoMin"/>
              <x14:cfvo type="autoMax"/>
              <x14:negativeFillColor rgb="FFFF0000"/>
              <x14:axisColor rgb="FF000000"/>
            </x14:dataBar>
          </x14:cfRule>
          <xm:sqref>G69:G74</xm:sqref>
        </x14:conditionalFormatting>
        <x14:conditionalFormatting xmlns:xm="http://schemas.microsoft.com/office/excel/2006/main">
          <x14:cfRule type="dataBar" id="{F4C530E2-55BD-084E-8B05-D7F4BF2AA97C}">
            <x14:dataBar minLength="0" maxLength="100" gradient="0">
              <x14:cfvo type="autoMin"/>
              <x14:cfvo type="autoMax"/>
              <x14:negativeFillColor rgb="FFFF0000"/>
              <x14:axisColor rgb="FF000000"/>
            </x14:dataBar>
          </x14:cfRule>
          <xm:sqref>H69:H74</xm:sqref>
        </x14:conditionalFormatting>
        <x14:conditionalFormatting xmlns:xm="http://schemas.microsoft.com/office/excel/2006/main">
          <x14:cfRule type="dataBar" id="{9CE04909-D403-E345-A90B-CF4937EDA67A}">
            <x14:dataBar minLength="0" maxLength="100" gradient="0">
              <x14:cfvo type="autoMin"/>
              <x14:cfvo type="autoMax"/>
              <x14:negativeFillColor rgb="FFFF0000"/>
              <x14:axisColor rgb="FF000000"/>
            </x14:dataBar>
          </x14:cfRule>
          <xm:sqref>I69:I74</xm:sqref>
        </x14:conditionalFormatting>
        <x14:conditionalFormatting xmlns:xm="http://schemas.microsoft.com/office/excel/2006/main">
          <x14:cfRule type="dataBar" id="{C4326158-624F-B042-9033-76E7799F1899}">
            <x14:dataBar minLength="0" maxLength="100" gradient="0">
              <x14:cfvo type="autoMin"/>
              <x14:cfvo type="autoMax"/>
              <x14:negativeFillColor rgb="FFFF0000"/>
              <x14:axisColor rgb="FF000000"/>
            </x14:dataBar>
          </x14:cfRule>
          <xm:sqref>J69:J74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7BD5-AD72-6449-9E44-F0AAA5E18BFC}">
  <dimension ref="A1:X59"/>
  <sheetViews>
    <sheetView tabSelected="1" zoomScale="110" zoomScaleNormal="110" workbookViewId="0">
      <pane xSplit="4" ySplit="8" topLeftCell="E9" activePane="bottomRight" state="frozen"/>
      <selection activeCell="L94" sqref="L94"/>
      <selection pane="topRight" activeCell="L94" sqref="L94"/>
      <selection pane="bottomLeft" activeCell="L94" sqref="L94"/>
      <selection pane="bottomRight" activeCell="L37" sqref="L37"/>
    </sheetView>
  </sheetViews>
  <sheetFormatPr defaultColWidth="11.5546875" defaultRowHeight="14.4"/>
  <cols>
    <col min="2" max="2" width="9" customWidth="1"/>
    <col min="3" max="3" width="16.44140625" customWidth="1"/>
    <col min="5" max="5" width="11.109375" bestFit="1" customWidth="1"/>
    <col min="6" max="6" width="11.77734375" bestFit="1" customWidth="1"/>
    <col min="7" max="7" width="12.6640625" bestFit="1" customWidth="1"/>
    <col min="8" max="8" width="11.77734375" bestFit="1" customWidth="1"/>
    <col min="9" max="10" width="12.77734375" bestFit="1" customWidth="1"/>
    <col min="11" max="11" width="9.109375" bestFit="1" customWidth="1"/>
    <col min="12" max="12" width="11.6640625" bestFit="1" customWidth="1"/>
    <col min="13" max="13" width="12.6640625" bestFit="1" customWidth="1"/>
    <col min="14" max="14" width="5.6640625" customWidth="1"/>
    <col min="16" max="17" width="9" customWidth="1"/>
    <col min="18" max="18" width="8.109375" customWidth="1"/>
    <col min="19" max="19" width="9.6640625" customWidth="1"/>
    <col min="20" max="22" width="8.109375" customWidth="1"/>
  </cols>
  <sheetData>
    <row r="1" spans="1:17">
      <c r="A1" s="160" t="s">
        <v>137</v>
      </c>
      <c r="B1" s="160"/>
      <c r="C1" s="160"/>
      <c r="D1" s="160"/>
      <c r="E1" s="160"/>
      <c r="F1" s="160"/>
      <c r="G1" s="160"/>
      <c r="H1" s="160"/>
      <c r="I1" s="160"/>
      <c r="J1" s="160"/>
      <c r="K1" s="160"/>
      <c r="L1" s="160"/>
      <c r="M1" s="160"/>
    </row>
    <row r="2" spans="1:17">
      <c r="A2" s="160"/>
      <c r="B2" s="160"/>
      <c r="C2" s="160"/>
      <c r="D2" s="160"/>
      <c r="E2" s="160"/>
      <c r="F2" s="160"/>
      <c r="G2" s="160"/>
      <c r="H2" s="160"/>
      <c r="I2" s="160"/>
      <c r="J2" s="160"/>
      <c r="K2" s="160"/>
      <c r="L2" s="160"/>
      <c r="M2" s="160"/>
    </row>
    <row r="5" spans="1:17">
      <c r="A5" s="1" t="s">
        <v>110</v>
      </c>
      <c r="B5" s="1"/>
      <c r="C5" s="1"/>
      <c r="D5" s="1"/>
      <c r="E5" t="s">
        <v>111</v>
      </c>
      <c r="F5" t="s">
        <v>111</v>
      </c>
      <c r="G5" t="s">
        <v>111</v>
      </c>
      <c r="H5" t="s">
        <v>112</v>
      </c>
      <c r="I5" t="s">
        <v>112</v>
      </c>
      <c r="J5" t="s">
        <v>112</v>
      </c>
      <c r="L5" t="s">
        <v>111</v>
      </c>
      <c r="M5" t="s">
        <v>112</v>
      </c>
    </row>
    <row r="6" spans="1:17">
      <c r="A6" s="1"/>
      <c r="B6" s="1" t="s">
        <v>122</v>
      </c>
      <c r="C6" s="1"/>
      <c r="D6" s="1"/>
      <c r="E6" t="s">
        <v>113</v>
      </c>
      <c r="F6" t="s">
        <v>114</v>
      </c>
      <c r="G6" t="s">
        <v>115</v>
      </c>
      <c r="H6" t="s">
        <v>113</v>
      </c>
      <c r="I6" t="s">
        <v>114</v>
      </c>
      <c r="J6" t="s">
        <v>115</v>
      </c>
      <c r="L6" t="s">
        <v>116</v>
      </c>
      <c r="M6" t="s">
        <v>116</v>
      </c>
    </row>
    <row r="7" spans="1:17">
      <c r="A7" s="1"/>
      <c r="B7" s="1"/>
      <c r="C7" s="1" t="s">
        <v>160</v>
      </c>
      <c r="D7" s="1"/>
    </row>
    <row r="8" spans="1:17">
      <c r="A8" s="1"/>
      <c r="B8" s="1"/>
      <c r="C8" s="1"/>
      <c r="D8" s="1" t="s">
        <v>53</v>
      </c>
      <c r="E8" t="s">
        <v>215</v>
      </c>
      <c r="F8" t="s">
        <v>215</v>
      </c>
      <c r="G8" t="s">
        <v>215</v>
      </c>
      <c r="H8" t="s">
        <v>215</v>
      </c>
      <c r="I8" t="s">
        <v>215</v>
      </c>
      <c r="J8" t="s">
        <v>215</v>
      </c>
    </row>
    <row r="9" spans="1:17" s="116" customFormat="1">
      <c r="A9" s="115" t="s">
        <v>56</v>
      </c>
    </row>
    <row r="10" spans="1:17">
      <c r="E10" s="30" t="s">
        <v>135</v>
      </c>
      <c r="L10" s="30" t="s">
        <v>131</v>
      </c>
      <c r="O10" s="30" t="s">
        <v>168</v>
      </c>
      <c r="Q10" t="s">
        <v>177</v>
      </c>
    </row>
    <row r="11" spans="1:17">
      <c r="A11" t="s">
        <v>111</v>
      </c>
      <c r="B11" t="s">
        <v>113</v>
      </c>
      <c r="D11" t="s">
        <v>215</v>
      </c>
      <c r="E11" s="123" t="s">
        <v>216</v>
      </c>
      <c r="F11" s="123" t="s">
        <v>216</v>
      </c>
      <c r="G11" s="123" t="s">
        <v>216</v>
      </c>
      <c r="H11" s="123" t="s">
        <v>216</v>
      </c>
      <c r="I11" s="123" t="s">
        <v>216</v>
      </c>
      <c r="J11" s="123" t="s">
        <v>216</v>
      </c>
      <c r="K11" s="3"/>
      <c r="L11" s="123" t="s">
        <v>215</v>
      </c>
      <c r="M11" s="123" t="s">
        <v>215</v>
      </c>
      <c r="O11" s="125" t="s">
        <v>215</v>
      </c>
      <c r="Q11" s="125" t="s">
        <v>215</v>
      </c>
    </row>
    <row r="12" spans="1:17">
      <c r="A12" t="s">
        <v>111</v>
      </c>
      <c r="B12" t="s">
        <v>114</v>
      </c>
      <c r="D12" t="s">
        <v>215</v>
      </c>
      <c r="E12" s="123" t="s">
        <v>216</v>
      </c>
      <c r="F12" s="123" t="s">
        <v>216</v>
      </c>
      <c r="G12" s="123" t="s">
        <v>216</v>
      </c>
      <c r="H12" s="123" t="s">
        <v>216</v>
      </c>
      <c r="I12" s="123" t="s">
        <v>216</v>
      </c>
      <c r="J12" s="123" t="s">
        <v>216</v>
      </c>
      <c r="K12" s="3"/>
      <c r="L12" s="123" t="s">
        <v>215</v>
      </c>
      <c r="M12" s="123" t="s">
        <v>215</v>
      </c>
      <c r="O12" s="125" t="s">
        <v>215</v>
      </c>
      <c r="Q12" s="125" t="s">
        <v>215</v>
      </c>
    </row>
    <row r="13" spans="1:17">
      <c r="A13" t="s">
        <v>111</v>
      </c>
      <c r="B13" t="s">
        <v>115</v>
      </c>
      <c r="D13" t="s">
        <v>215</v>
      </c>
      <c r="E13" s="123" t="s">
        <v>216</v>
      </c>
      <c r="F13" s="123" t="s">
        <v>216</v>
      </c>
      <c r="G13" s="123" t="s">
        <v>216</v>
      </c>
      <c r="H13" s="123" t="s">
        <v>216</v>
      </c>
      <c r="I13" s="123" t="s">
        <v>216</v>
      </c>
      <c r="J13" s="123" t="s">
        <v>216</v>
      </c>
      <c r="K13" s="3"/>
      <c r="L13" s="123" t="s">
        <v>215</v>
      </c>
      <c r="M13" s="123" t="s">
        <v>215</v>
      </c>
      <c r="O13" s="125" t="s">
        <v>215</v>
      </c>
      <c r="Q13" s="125" t="s">
        <v>215</v>
      </c>
    </row>
    <row r="14" spans="1:17">
      <c r="A14" t="s">
        <v>112</v>
      </c>
      <c r="B14" t="s">
        <v>113</v>
      </c>
      <c r="D14" t="s">
        <v>215</v>
      </c>
      <c r="E14" s="123" t="s">
        <v>216</v>
      </c>
      <c r="F14" s="123" t="s">
        <v>216</v>
      </c>
      <c r="G14" s="123" t="s">
        <v>216</v>
      </c>
      <c r="H14" s="123" t="s">
        <v>216</v>
      </c>
      <c r="I14" s="123" t="s">
        <v>216</v>
      </c>
      <c r="J14" s="123" t="s">
        <v>216</v>
      </c>
      <c r="K14" s="3"/>
      <c r="L14" s="123" t="s">
        <v>215</v>
      </c>
      <c r="M14" s="123" t="s">
        <v>215</v>
      </c>
      <c r="O14" s="125" t="s">
        <v>215</v>
      </c>
      <c r="Q14" s="125" t="s">
        <v>215</v>
      </c>
    </row>
    <row r="15" spans="1:17">
      <c r="A15" t="s">
        <v>112</v>
      </c>
      <c r="B15" t="s">
        <v>114</v>
      </c>
      <c r="D15" t="s">
        <v>215</v>
      </c>
      <c r="E15" s="123" t="s">
        <v>216</v>
      </c>
      <c r="F15" s="123" t="s">
        <v>216</v>
      </c>
      <c r="G15" s="123" t="s">
        <v>216</v>
      </c>
      <c r="H15" s="123" t="s">
        <v>216</v>
      </c>
      <c r="I15" s="123" t="s">
        <v>216</v>
      </c>
      <c r="J15" s="123" t="s">
        <v>216</v>
      </c>
      <c r="K15" s="3"/>
      <c r="L15" s="123" t="s">
        <v>215</v>
      </c>
      <c r="M15" s="123" t="s">
        <v>215</v>
      </c>
      <c r="O15" s="125" t="s">
        <v>215</v>
      </c>
      <c r="Q15" s="125" t="s">
        <v>215</v>
      </c>
    </row>
    <row r="16" spans="1:17">
      <c r="A16" t="s">
        <v>112</v>
      </c>
      <c r="B16" t="s">
        <v>115</v>
      </c>
      <c r="D16" t="s">
        <v>215</v>
      </c>
      <c r="E16" s="123" t="s">
        <v>216</v>
      </c>
      <c r="F16" s="123" t="s">
        <v>216</v>
      </c>
      <c r="G16" s="123" t="s">
        <v>216</v>
      </c>
      <c r="H16" s="123" t="s">
        <v>216</v>
      </c>
      <c r="I16" s="123" t="s">
        <v>216</v>
      </c>
      <c r="J16" s="123" t="s">
        <v>216</v>
      </c>
      <c r="K16" s="3"/>
      <c r="L16" s="123" t="s">
        <v>215</v>
      </c>
      <c r="M16" s="123" t="s">
        <v>215</v>
      </c>
      <c r="O16" s="125" t="s">
        <v>215</v>
      </c>
      <c r="Q16" s="125" t="s">
        <v>215</v>
      </c>
    </row>
    <row r="17" spans="1:24">
      <c r="E17" s="113" t="s">
        <v>136</v>
      </c>
      <c r="F17" s="3"/>
      <c r="G17" s="3"/>
      <c r="H17" s="3"/>
      <c r="I17" s="3"/>
      <c r="J17" s="3"/>
      <c r="K17" s="3"/>
      <c r="Q17" t="s">
        <v>174</v>
      </c>
    </row>
    <row r="18" spans="1:24">
      <c r="C18" t="s">
        <v>118</v>
      </c>
      <c r="D18" t="s">
        <v>215</v>
      </c>
      <c r="E18" s="123" t="s">
        <v>216</v>
      </c>
      <c r="F18" s="123" t="s">
        <v>216</v>
      </c>
      <c r="G18" s="123" t="s">
        <v>216</v>
      </c>
      <c r="H18" s="123" t="s">
        <v>216</v>
      </c>
      <c r="I18" s="123" t="s">
        <v>216</v>
      </c>
      <c r="J18" s="123" t="s">
        <v>216</v>
      </c>
      <c r="K18" s="3"/>
      <c r="Q18" s="125" t="s">
        <v>215</v>
      </c>
    </row>
    <row r="19" spans="1:24">
      <c r="C19" t="s">
        <v>119</v>
      </c>
      <c r="D19" t="s">
        <v>184</v>
      </c>
      <c r="E19" s="123" t="s">
        <v>216</v>
      </c>
      <c r="F19" s="123" t="s">
        <v>216</v>
      </c>
      <c r="G19" s="123" t="s">
        <v>216</v>
      </c>
      <c r="H19" s="123" t="s">
        <v>216</v>
      </c>
      <c r="I19" s="123" t="s">
        <v>216</v>
      </c>
      <c r="J19" s="123" t="s">
        <v>216</v>
      </c>
      <c r="K19" s="3"/>
      <c r="Q19" s="125" t="s">
        <v>184</v>
      </c>
    </row>
    <row r="20" spans="1:24">
      <c r="E20" s="30" t="s">
        <v>176</v>
      </c>
      <c r="S20" s="30" t="s">
        <v>134</v>
      </c>
    </row>
    <row r="21" spans="1:24">
      <c r="A21" t="s">
        <v>111</v>
      </c>
      <c r="B21" t="s">
        <v>113</v>
      </c>
      <c r="D21" t="s">
        <v>215</v>
      </c>
      <c r="E21" s="124" t="s">
        <v>216</v>
      </c>
      <c r="F21" s="124" t="s">
        <v>216</v>
      </c>
      <c r="G21" s="124" t="s">
        <v>216</v>
      </c>
      <c r="H21" s="124" t="s">
        <v>216</v>
      </c>
      <c r="I21" s="124" t="s">
        <v>216</v>
      </c>
      <c r="J21" s="124" t="s">
        <v>216</v>
      </c>
      <c r="S21" s="122" t="s">
        <v>216</v>
      </c>
      <c r="T21" s="122" t="s">
        <v>216</v>
      </c>
      <c r="U21" s="122" t="s">
        <v>216</v>
      </c>
      <c r="V21" s="122" t="s">
        <v>216</v>
      </c>
      <c r="W21" s="122" t="s">
        <v>216</v>
      </c>
      <c r="X21" s="122" t="s">
        <v>216</v>
      </c>
    </row>
    <row r="22" spans="1:24">
      <c r="A22" t="s">
        <v>111</v>
      </c>
      <c r="B22" t="s">
        <v>114</v>
      </c>
      <c r="D22" t="s">
        <v>215</v>
      </c>
      <c r="E22" s="124" t="s">
        <v>216</v>
      </c>
      <c r="F22" s="124" t="s">
        <v>216</v>
      </c>
      <c r="G22" s="124" t="s">
        <v>216</v>
      </c>
      <c r="H22" s="124" t="s">
        <v>216</v>
      </c>
      <c r="I22" s="124" t="s">
        <v>216</v>
      </c>
      <c r="J22" s="124" t="s">
        <v>216</v>
      </c>
      <c r="S22" s="122" t="s">
        <v>216</v>
      </c>
      <c r="T22" s="122" t="s">
        <v>216</v>
      </c>
      <c r="U22" s="122" t="s">
        <v>216</v>
      </c>
      <c r="V22" s="122" t="s">
        <v>216</v>
      </c>
      <c r="W22" s="122" t="s">
        <v>216</v>
      </c>
      <c r="X22" s="122" t="s">
        <v>216</v>
      </c>
    </row>
    <row r="23" spans="1:24">
      <c r="A23" t="s">
        <v>111</v>
      </c>
      <c r="B23" t="s">
        <v>115</v>
      </c>
      <c r="D23" t="s">
        <v>215</v>
      </c>
      <c r="E23" s="124" t="s">
        <v>216</v>
      </c>
      <c r="F23" s="124" t="s">
        <v>216</v>
      </c>
      <c r="G23" s="124" t="s">
        <v>216</v>
      </c>
      <c r="H23" s="124" t="s">
        <v>216</v>
      </c>
      <c r="I23" s="124" t="s">
        <v>216</v>
      </c>
      <c r="J23" s="124" t="s">
        <v>216</v>
      </c>
      <c r="S23" s="122" t="s">
        <v>216</v>
      </c>
      <c r="T23" s="122" t="s">
        <v>216</v>
      </c>
      <c r="U23" s="122" t="s">
        <v>216</v>
      </c>
      <c r="V23" s="122" t="s">
        <v>216</v>
      </c>
      <c r="W23" s="122" t="s">
        <v>216</v>
      </c>
      <c r="X23" s="122" t="s">
        <v>216</v>
      </c>
    </row>
    <row r="24" spans="1:24">
      <c r="A24" t="s">
        <v>112</v>
      </c>
      <c r="B24" t="s">
        <v>113</v>
      </c>
      <c r="D24" t="s">
        <v>215</v>
      </c>
      <c r="E24" s="124" t="s">
        <v>216</v>
      </c>
      <c r="F24" s="124" t="s">
        <v>216</v>
      </c>
      <c r="G24" s="124" t="s">
        <v>216</v>
      </c>
      <c r="H24" s="124" t="s">
        <v>216</v>
      </c>
      <c r="I24" s="124" t="s">
        <v>216</v>
      </c>
      <c r="J24" s="124" t="s">
        <v>216</v>
      </c>
      <c r="S24" s="122" t="s">
        <v>216</v>
      </c>
      <c r="T24" s="122" t="s">
        <v>216</v>
      </c>
      <c r="U24" s="122" t="s">
        <v>216</v>
      </c>
      <c r="V24" s="122" t="s">
        <v>216</v>
      </c>
      <c r="W24" s="122" t="s">
        <v>216</v>
      </c>
      <c r="X24" s="122" t="s">
        <v>216</v>
      </c>
    </row>
    <row r="25" spans="1:24">
      <c r="A25" t="s">
        <v>112</v>
      </c>
      <c r="B25" t="s">
        <v>114</v>
      </c>
      <c r="D25" t="s">
        <v>215</v>
      </c>
      <c r="E25" s="124" t="s">
        <v>216</v>
      </c>
      <c r="F25" s="124" t="s">
        <v>216</v>
      </c>
      <c r="G25" s="124" t="s">
        <v>216</v>
      </c>
      <c r="H25" s="124" t="s">
        <v>216</v>
      </c>
      <c r="I25" s="124" t="s">
        <v>216</v>
      </c>
      <c r="J25" s="124" t="s">
        <v>216</v>
      </c>
      <c r="S25" s="122" t="s">
        <v>216</v>
      </c>
      <c r="T25" s="122" t="s">
        <v>216</v>
      </c>
      <c r="U25" s="122" t="s">
        <v>216</v>
      </c>
      <c r="V25" s="122" t="s">
        <v>216</v>
      </c>
      <c r="W25" s="122" t="s">
        <v>216</v>
      </c>
      <c r="X25" s="122" t="s">
        <v>216</v>
      </c>
    </row>
    <row r="26" spans="1:24">
      <c r="A26" t="s">
        <v>112</v>
      </c>
      <c r="B26" t="s">
        <v>115</v>
      </c>
      <c r="D26" t="s">
        <v>215</v>
      </c>
      <c r="E26" s="124" t="s">
        <v>216</v>
      </c>
      <c r="F26" s="124" t="s">
        <v>216</v>
      </c>
      <c r="G26" s="124" t="s">
        <v>216</v>
      </c>
      <c r="H26" s="124" t="s">
        <v>216</v>
      </c>
      <c r="I26" s="124" t="s">
        <v>216</v>
      </c>
      <c r="J26" s="124" t="s">
        <v>216</v>
      </c>
      <c r="S26" s="122" t="s">
        <v>216</v>
      </c>
      <c r="T26" s="122" t="s">
        <v>216</v>
      </c>
      <c r="U26" s="122" t="s">
        <v>216</v>
      </c>
      <c r="V26" s="122" t="s">
        <v>216</v>
      </c>
      <c r="W26" s="122" t="s">
        <v>216</v>
      </c>
      <c r="X26" s="122" t="s">
        <v>216</v>
      </c>
    </row>
    <row r="27" spans="1:24">
      <c r="E27" s="30" t="s">
        <v>175</v>
      </c>
      <c r="L27" s="113" t="s">
        <v>162</v>
      </c>
      <c r="M27" s="3"/>
    </row>
    <row r="28" spans="1:24">
      <c r="C28" t="s">
        <v>118</v>
      </c>
      <c r="D28" t="s">
        <v>215</v>
      </c>
      <c r="E28" s="124" t="s">
        <v>216</v>
      </c>
      <c r="F28" s="124" t="s">
        <v>216</v>
      </c>
      <c r="G28" s="124" t="s">
        <v>216</v>
      </c>
      <c r="H28" s="124" t="s">
        <v>216</v>
      </c>
      <c r="I28" s="124" t="s">
        <v>216</v>
      </c>
      <c r="J28" s="124" t="s">
        <v>216</v>
      </c>
      <c r="L28" s="123" t="s">
        <v>215</v>
      </c>
      <c r="M28" s="123" t="s">
        <v>215</v>
      </c>
    </row>
    <row r="29" spans="1:24">
      <c r="C29" t="s">
        <v>119</v>
      </c>
      <c r="D29" t="s">
        <v>184</v>
      </c>
      <c r="E29" s="124" t="s">
        <v>217</v>
      </c>
      <c r="F29" s="124" t="s">
        <v>217</v>
      </c>
      <c r="G29" s="124" t="s">
        <v>217</v>
      </c>
      <c r="H29" s="124" t="s">
        <v>217</v>
      </c>
      <c r="I29" s="124" t="s">
        <v>217</v>
      </c>
      <c r="J29" s="124" t="s">
        <v>217</v>
      </c>
      <c r="L29" s="123" t="s">
        <v>184</v>
      </c>
      <c r="M29" s="123" t="s">
        <v>184</v>
      </c>
    </row>
    <row r="32" spans="1:24" s="116" customFormat="1">
      <c r="A32" s="115" t="s">
        <v>58</v>
      </c>
    </row>
    <row r="34" spans="1:24">
      <c r="E34" s="30" t="s">
        <v>57</v>
      </c>
      <c r="L34" s="30" t="s">
        <v>62</v>
      </c>
      <c r="O34" s="30" t="s">
        <v>168</v>
      </c>
      <c r="Q34" s="30" t="s">
        <v>63</v>
      </c>
    </row>
    <row r="35" spans="1:24">
      <c r="A35" t="s">
        <v>111</v>
      </c>
      <c r="B35" t="s">
        <v>113</v>
      </c>
      <c r="D35" t="s">
        <v>215</v>
      </c>
      <c r="E35" s="127">
        <f t="array" ref="E35:G37">'Ex. 2'!E54:G56+'Ex. 2'!E57:G59</f>
        <v>0</v>
      </c>
      <c r="F35" s="127">
        <v>0</v>
      </c>
      <c r="G35" s="127">
        <v>0</v>
      </c>
      <c r="H35" s="126">
        <v>3.6254252328171206E-4</v>
      </c>
      <c r="I35" s="126">
        <v>7.6232405876444198E-4</v>
      </c>
      <c r="J35" s="126">
        <v>1.1372549413380715E-4</v>
      </c>
      <c r="K35" s="3"/>
      <c r="L35" s="128">
        <f t="array" ref="L35:L37">'Ex. 2'!L44:L46+'Ex. 2'!L47:L49</f>
        <v>313638.24902099988</v>
      </c>
      <c r="M35" s="112">
        <v>19713.978867731137</v>
      </c>
      <c r="O35" s="125">
        <f t="shared" ref="O35:O40" si="0">SUM(L35:M35)</f>
        <v>333352.22788873099</v>
      </c>
      <c r="Q35" s="114">
        <f t="array" ref="Q35:Q40">MMULT(MINVERSE(_xlfn.MUNIT(6)-E35:J40),O35:O40)</f>
        <v>381197.06842125306</v>
      </c>
    </row>
    <row r="36" spans="1:24">
      <c r="A36" t="s">
        <v>111</v>
      </c>
      <c r="B36" t="s">
        <v>114</v>
      </c>
      <c r="D36" t="s">
        <v>215</v>
      </c>
      <c r="E36" s="127">
        <v>0</v>
      </c>
      <c r="F36" s="127">
        <v>0</v>
      </c>
      <c r="G36" s="127">
        <v>0</v>
      </c>
      <c r="H36" s="126">
        <v>4.6330201182235029E-3</v>
      </c>
      <c r="I36" s="126">
        <v>1.3447256220236629E-2</v>
      </c>
      <c r="J36" s="126">
        <v>3.3946432452527137E-3</v>
      </c>
      <c r="K36" s="3"/>
      <c r="L36" s="128">
        <v>5286212.3176568877</v>
      </c>
      <c r="M36" s="112">
        <v>986934.45376322535</v>
      </c>
      <c r="O36" s="125">
        <f t="shared" si="0"/>
        <v>6273146.7714201128</v>
      </c>
      <c r="Q36" s="114">
        <v>7192006.0152296415</v>
      </c>
    </row>
    <row r="37" spans="1:24">
      <c r="A37" t="s">
        <v>111</v>
      </c>
      <c r="B37" t="s">
        <v>115</v>
      </c>
      <c r="D37" t="s">
        <v>215</v>
      </c>
      <c r="E37" s="127">
        <v>0</v>
      </c>
      <c r="F37" s="127">
        <v>0</v>
      </c>
      <c r="G37" s="127">
        <v>0</v>
      </c>
      <c r="H37" s="126">
        <v>2.6523377155107252E-3</v>
      </c>
      <c r="I37" s="126">
        <v>2.4673390887954912E-3</v>
      </c>
      <c r="J37" s="126">
        <v>4.235810318131009E-3</v>
      </c>
      <c r="K37" s="3"/>
      <c r="L37" s="128">
        <v>10400761.782832822</v>
      </c>
      <c r="M37" s="112">
        <v>318899.3702976341</v>
      </c>
      <c r="O37" s="125">
        <f t="shared" si="0"/>
        <v>10719661.153130457</v>
      </c>
      <c r="Q37" s="114">
        <v>11130980.168739203</v>
      </c>
    </row>
    <row r="38" spans="1:24">
      <c r="A38" t="s">
        <v>112</v>
      </c>
      <c r="B38" t="s">
        <v>113</v>
      </c>
      <c r="D38" t="s">
        <v>215</v>
      </c>
      <c r="E38" s="128">
        <v>0</v>
      </c>
      <c r="F38" s="128">
        <v>0</v>
      </c>
      <c r="G38" s="128">
        <v>0</v>
      </c>
      <c r="H38" s="126">
        <v>9.2967405239982981E-2</v>
      </c>
      <c r="I38" s="126">
        <v>8.6503223311947042E-2</v>
      </c>
      <c r="J38" s="126">
        <v>8.4539556162164554E-3</v>
      </c>
      <c r="K38" s="3"/>
      <c r="L38" s="128">
        <v>0</v>
      </c>
      <c r="M38" s="112">
        <v>1960204.4539076979</v>
      </c>
      <c r="O38" s="125">
        <f t="shared" si="0"/>
        <v>1960204.4539076979</v>
      </c>
      <c r="Q38" s="114">
        <v>7495407.8962058304</v>
      </c>
    </row>
    <row r="39" spans="1:24">
      <c r="A39" t="s">
        <v>112</v>
      </c>
      <c r="B39" t="s">
        <v>114</v>
      </c>
      <c r="D39" t="s">
        <v>215</v>
      </c>
      <c r="E39" s="128">
        <v>0</v>
      </c>
      <c r="F39" s="128">
        <v>0</v>
      </c>
      <c r="G39" s="128">
        <v>0</v>
      </c>
      <c r="H39" s="126">
        <v>0.12410908728856129</v>
      </c>
      <c r="I39" s="126">
        <v>0.4232778223616161</v>
      </c>
      <c r="J39" s="126">
        <v>9.4791330923037445E-2</v>
      </c>
      <c r="K39" s="3"/>
      <c r="L39" s="128">
        <v>0</v>
      </c>
      <c r="M39" s="112">
        <v>21737840.45649457</v>
      </c>
      <c r="O39" s="125">
        <f t="shared" si="0"/>
        <v>21737840.45649457</v>
      </c>
      <c r="Q39" s="114">
        <v>49732629.218983546</v>
      </c>
    </row>
    <row r="40" spans="1:24">
      <c r="A40" t="s">
        <v>112</v>
      </c>
      <c r="B40" t="s">
        <v>115</v>
      </c>
      <c r="D40" t="s">
        <v>215</v>
      </c>
      <c r="E40" s="128">
        <v>0</v>
      </c>
      <c r="F40" s="128">
        <v>0</v>
      </c>
      <c r="G40" s="128">
        <v>0</v>
      </c>
      <c r="H40" s="126">
        <v>0.16386307191878163</v>
      </c>
      <c r="I40" s="126">
        <v>0.16842669107754704</v>
      </c>
      <c r="J40" s="126">
        <v>0.26404004347833426</v>
      </c>
      <c r="K40" s="3"/>
      <c r="L40" s="128">
        <v>0</v>
      </c>
      <c r="M40" s="112">
        <v>37086791.656861275</v>
      </c>
      <c r="O40" s="125">
        <f t="shared" si="0"/>
        <v>37086791.656861275</v>
      </c>
      <c r="Q40" s="114">
        <v>63442737.58946456</v>
      </c>
    </row>
    <row r="41" spans="1:24">
      <c r="E41" s="113" t="s">
        <v>61</v>
      </c>
      <c r="F41" s="3"/>
      <c r="G41" s="3"/>
      <c r="H41" s="3"/>
      <c r="I41" s="3"/>
      <c r="J41" s="3"/>
      <c r="K41" s="3"/>
      <c r="L41" s="113" t="s">
        <v>117</v>
      </c>
      <c r="M41" s="3"/>
      <c r="Q41" s="30" t="s">
        <v>133</v>
      </c>
    </row>
    <row r="42" spans="1:24">
      <c r="C42" t="s">
        <v>118</v>
      </c>
      <c r="D42" t="s">
        <v>215</v>
      </c>
      <c r="E42" s="126">
        <v>0.51859399757138458</v>
      </c>
      <c r="F42" s="126">
        <v>0.35713987293028215</v>
      </c>
      <c r="G42" s="126">
        <v>0.63116370214111928</v>
      </c>
      <c r="H42" s="126">
        <v>0.61141253511522498</v>
      </c>
      <c r="I42" s="126">
        <v>0.30511534383348582</v>
      </c>
      <c r="J42" s="126">
        <v>0.62497049094870738</v>
      </c>
      <c r="K42" s="3"/>
      <c r="L42" s="112">
        <v>0</v>
      </c>
      <c r="M42" s="112">
        <v>0</v>
      </c>
      <c r="Q42" s="114">
        <f>SUM(E42:J42,L42:M42)</f>
        <v>3.0483959425402043</v>
      </c>
    </row>
    <row r="43" spans="1:24">
      <c r="C43" t="s">
        <v>119</v>
      </c>
      <c r="D43" t="s">
        <v>184</v>
      </c>
      <c r="E43" s="126">
        <v>0.2339770193222285</v>
      </c>
      <c r="F43" s="126">
        <v>0.14662019424994302</v>
      </c>
      <c r="G43" s="126">
        <v>4.3624128075220411E-2</v>
      </c>
      <c r="H43" s="126">
        <v>0.34289077760439585</v>
      </c>
      <c r="I43" s="126">
        <v>0.37917802679505375</v>
      </c>
      <c r="J43" s="126">
        <v>4.9379482553076982E-2</v>
      </c>
      <c r="K43" s="3"/>
      <c r="L43" s="112">
        <v>704556.98098715034</v>
      </c>
      <c r="M43" s="112">
        <v>3735401.4096039101</v>
      </c>
      <c r="Q43" s="114">
        <f>SUM(E43:J43,L43:M43)</f>
        <v>4439959.5862606894</v>
      </c>
    </row>
    <row r="44" spans="1:24">
      <c r="E44" s="30" t="s">
        <v>71</v>
      </c>
      <c r="S44" s="30" t="s">
        <v>73</v>
      </c>
    </row>
    <row r="45" spans="1:24">
      <c r="A45" t="s">
        <v>111</v>
      </c>
      <c r="B45" t="s">
        <v>113</v>
      </c>
      <c r="D45" t="s">
        <v>215</v>
      </c>
      <c r="E45" s="117">
        <f t="array" ref="E45:J50">MMULT(E35:J40,_xlfn.MUNIT(6)*Q35:Q40)</f>
        <v>0</v>
      </c>
      <c r="F45" s="117">
        <v>0</v>
      </c>
      <c r="G45" s="117">
        <v>0</v>
      </c>
      <c r="H45" s="117">
        <v>2717.4040917161306</v>
      </c>
      <c r="I45" s="117">
        <v>37912.37975924262</v>
      </c>
      <c r="J45" s="117">
        <v>7215.0566815633183</v>
      </c>
      <c r="S45" s="119">
        <f t="array" ref="S45:X50">MINVERSE(_xlfn.MUNIT(6)-E35:J40)</f>
        <v>1</v>
      </c>
      <c r="T45" s="119">
        <v>0</v>
      </c>
      <c r="U45" s="119">
        <v>0</v>
      </c>
      <c r="V45" s="119">
        <v>6.736000418330701E-4</v>
      </c>
      <c r="W45" s="119">
        <v>1.5277083736989711E-3</v>
      </c>
      <c r="X45" s="119">
        <v>3.5903256237550647E-4</v>
      </c>
    </row>
    <row r="46" spans="1:24">
      <c r="A46" t="s">
        <v>111</v>
      </c>
      <c r="B46" t="s">
        <v>114</v>
      </c>
      <c r="D46" t="s">
        <v>215</v>
      </c>
      <c r="E46" s="117">
        <v>0</v>
      </c>
      <c r="F46" s="117">
        <v>0</v>
      </c>
      <c r="G46" s="117">
        <v>0</v>
      </c>
      <c r="H46" s="117">
        <v>34726.375577412917</v>
      </c>
      <c r="I46" s="117">
        <v>668767.40761369839</v>
      </c>
      <c r="J46" s="117">
        <v>215365.46061841631</v>
      </c>
      <c r="S46" s="119">
        <v>0</v>
      </c>
      <c r="T46" s="119">
        <v>1</v>
      </c>
      <c r="U46" s="119">
        <v>0</v>
      </c>
      <c r="V46" s="119">
        <v>1.0329072444210288E-2</v>
      </c>
      <c r="W46" s="119">
        <v>2.7273557878573447E-2</v>
      </c>
      <c r="X46" s="119">
        <v>8.244010508730186E-3</v>
      </c>
    </row>
    <row r="47" spans="1:24">
      <c r="A47" t="s">
        <v>111</v>
      </c>
      <c r="B47" t="s">
        <v>115</v>
      </c>
      <c r="D47" t="s">
        <v>215</v>
      </c>
      <c r="E47" s="117">
        <v>0</v>
      </c>
      <c r="F47" s="117">
        <v>0</v>
      </c>
      <c r="G47" s="117">
        <v>0</v>
      </c>
      <c r="H47" s="117">
        <v>19880.353056243624</v>
      </c>
      <c r="I47" s="117">
        <v>122707.26006057089</v>
      </c>
      <c r="J47" s="117">
        <v>268731.40249193198</v>
      </c>
      <c r="S47" s="119">
        <v>0</v>
      </c>
      <c r="T47" s="119">
        <v>0</v>
      </c>
      <c r="U47" s="119">
        <v>1</v>
      </c>
      <c r="V47" s="119">
        <v>5.0958643635997895E-3</v>
      </c>
      <c r="W47" s="119">
        <v>7.0039326825843563E-3</v>
      </c>
      <c r="X47" s="119">
        <v>6.7161298466911386E-3</v>
      </c>
    </row>
    <row r="48" spans="1:24">
      <c r="A48" t="s">
        <v>112</v>
      </c>
      <c r="B48" t="s">
        <v>113</v>
      </c>
      <c r="D48" t="s">
        <v>215</v>
      </c>
      <c r="E48" s="117">
        <v>0</v>
      </c>
      <c r="F48" s="117">
        <v>0</v>
      </c>
      <c r="G48" s="117">
        <v>0</v>
      </c>
      <c r="H48" s="117">
        <v>696828.62332553568</v>
      </c>
      <c r="I48" s="117">
        <v>4302032.7312199958</v>
      </c>
      <c r="J48" s="117">
        <v>536342.08775260078</v>
      </c>
      <c r="S48" s="119">
        <v>0</v>
      </c>
      <c r="T48" s="119">
        <v>0</v>
      </c>
      <c r="U48" s="119">
        <v>0</v>
      </c>
      <c r="V48" s="119">
        <v>1.1337715411599096</v>
      </c>
      <c r="W48" s="119">
        <v>0.18065440860480475</v>
      </c>
      <c r="X48" s="119">
        <v>3.6291819792606594E-2</v>
      </c>
    </row>
    <row r="49" spans="1:24">
      <c r="A49" t="s">
        <v>112</v>
      </c>
      <c r="B49" t="s">
        <v>114</v>
      </c>
      <c r="D49" t="s">
        <v>215</v>
      </c>
      <c r="E49" s="117">
        <v>0</v>
      </c>
      <c r="F49" s="117">
        <v>0</v>
      </c>
      <c r="G49" s="117">
        <v>0</v>
      </c>
      <c r="H49" s="117">
        <v>930248.23285358096</v>
      </c>
      <c r="I49" s="117">
        <v>21050718.996129036</v>
      </c>
      <c r="J49" s="117">
        <v>6013821.5335063618</v>
      </c>
      <c r="S49" s="119">
        <v>0</v>
      </c>
      <c r="T49" s="119">
        <v>0</v>
      </c>
      <c r="U49" s="119">
        <v>0</v>
      </c>
      <c r="V49" s="119">
        <v>0.29663349533214683</v>
      </c>
      <c r="W49" s="119">
        <v>1.848973397235973</v>
      </c>
      <c r="X49" s="119">
        <v>0.24155441338047251</v>
      </c>
    </row>
    <row r="50" spans="1:24">
      <c r="A50" t="s">
        <v>112</v>
      </c>
      <c r="B50" t="s">
        <v>115</v>
      </c>
      <c r="D50" t="s">
        <v>215</v>
      </c>
      <c r="E50" s="117">
        <v>0</v>
      </c>
      <c r="F50" s="117">
        <v>0</v>
      </c>
      <c r="G50" s="117">
        <v>0</v>
      </c>
      <c r="H50" s="117">
        <v>1228220.5631565796</v>
      </c>
      <c r="I50" s="117">
        <v>8376302.1779399309</v>
      </c>
      <c r="J50" s="117">
        <v>16751423.191506773</v>
      </c>
      <c r="S50" s="119">
        <v>0</v>
      </c>
      <c r="T50" s="119">
        <v>0</v>
      </c>
      <c r="U50" s="119">
        <v>0</v>
      </c>
      <c r="V50" s="119">
        <v>0.32032216370072941</v>
      </c>
      <c r="W50" s="119">
        <v>0.46336632110836973</v>
      </c>
      <c r="X50" s="119">
        <v>1.4221304982192722</v>
      </c>
    </row>
    <row r="51" spans="1:24">
      <c r="E51" s="30" t="s">
        <v>72</v>
      </c>
    </row>
    <row r="52" spans="1:24">
      <c r="C52" t="s">
        <v>118</v>
      </c>
      <c r="D52" t="s">
        <v>215</v>
      </c>
      <c r="E52" s="117">
        <f t="array" ref="E52:J53">MMULT(E42:J43,_xlfn.MUNIT(6)*Q35:Q40)</f>
        <v>197686.51157507024</v>
      </c>
      <c r="F52" s="117">
        <v>2568552.114392939</v>
      </c>
      <c r="G52" s="117">
        <v>7025470.6517608166</v>
      </c>
      <c r="H52" s="117">
        <v>4582786.343541882</v>
      </c>
      <c r="I52" s="117">
        <v>15174188.263893427</v>
      </c>
      <c r="J52" s="117">
        <v>39649838.858417675</v>
      </c>
    </row>
    <row r="53" spans="1:24">
      <c r="C53" t="s">
        <v>119</v>
      </c>
      <c r="D53" t="s">
        <v>184</v>
      </c>
      <c r="E53" s="117">
        <v>89191.353843576391</v>
      </c>
      <c r="F53" s="117">
        <v>1054493.3189997287</v>
      </c>
      <c r="G53" s="117">
        <v>485579.30448381754</v>
      </c>
      <c r="H53" s="117">
        <v>2570106.2419921458</v>
      </c>
      <c r="I53" s="117">
        <v>18857520.214584216</v>
      </c>
      <c r="J53" s="117">
        <v>3132769.5539184064</v>
      </c>
    </row>
    <row r="56" spans="1:24">
      <c r="E56" s="30" t="s">
        <v>140</v>
      </c>
      <c r="I56" s="30" t="s">
        <v>141</v>
      </c>
      <c r="M56" s="30" t="s">
        <v>138</v>
      </c>
    </row>
    <row r="57" spans="1:24">
      <c r="E57" t="s">
        <v>111</v>
      </c>
      <c r="F57" t="s">
        <v>112</v>
      </c>
      <c r="G57" t="s">
        <v>139</v>
      </c>
      <c r="I57" t="s">
        <v>111</v>
      </c>
      <c r="J57" t="s">
        <v>112</v>
      </c>
      <c r="K57" t="s">
        <v>139</v>
      </c>
      <c r="M57" t="s">
        <v>111</v>
      </c>
      <c r="N57" t="s">
        <v>112</v>
      </c>
      <c r="O57" t="s">
        <v>139</v>
      </c>
    </row>
    <row r="58" spans="1:24">
      <c r="C58" t="s">
        <v>118</v>
      </c>
      <c r="D58" t="s">
        <v>215</v>
      </c>
      <c r="E58" s="117">
        <f>SUM('Ex. 2'!E51:G51)</f>
        <v>16486626.178070828</v>
      </c>
      <c r="F58" s="117">
        <f>SUM('Ex. 2'!H51:J51)</f>
        <v>61624370.539374188</v>
      </c>
      <c r="G58" s="117">
        <f>SUM(E58:F58)</f>
        <v>78110996.717445016</v>
      </c>
      <c r="I58" s="117">
        <f>SUM(E52:G52)</f>
        <v>9791709.2777288258</v>
      </c>
      <c r="J58" s="117">
        <f>SUM(H52:J52)</f>
        <v>59406813.465852983</v>
      </c>
      <c r="K58" s="117">
        <f>SUM(I58:J58)</f>
        <v>69198522.743581802</v>
      </c>
      <c r="M58" s="129">
        <f t="array" ref="M58:O59">(I58:K59-E58:G59)/E58:G59</f>
        <v>-0.40608168269424566</v>
      </c>
      <c r="N58" s="129">
        <v>-3.5985066526632047E-2</v>
      </c>
      <c r="O58" s="129">
        <v>-0.11410011840077744</v>
      </c>
    </row>
    <row r="59" spans="1:24">
      <c r="C59" t="s">
        <v>119</v>
      </c>
      <c r="D59" t="s">
        <v>184</v>
      </c>
      <c r="E59" s="117">
        <f>SUM('Ex. 2'!E52:G52)+'Ex. 2'!L52</f>
        <v>3442325.2140832264</v>
      </c>
      <c r="F59" s="117">
        <f>SUM('Ex. 2'!H52:J52)+'Ex. 2'!M52</f>
        <v>29628800.086224724</v>
      </c>
      <c r="G59" s="117">
        <f>SUM(E59:F59)</f>
        <v>33071125.300307952</v>
      </c>
      <c r="I59" s="117">
        <f>SUM(E53:G53)+L43</f>
        <v>2333820.9583142726</v>
      </c>
      <c r="J59" s="117">
        <f>SUM(H53:J53)+M43</f>
        <v>28295797.420098677</v>
      </c>
      <c r="K59" s="117">
        <f>SUM(I59:J59)</f>
        <v>30629618.378412951</v>
      </c>
      <c r="M59" s="129">
        <v>-0.32202194354962332</v>
      </c>
      <c r="N59" s="129">
        <v>-4.4990099573617139E-2</v>
      </c>
      <c r="O59" s="150">
        <v>-7.3825940294576745E-2</v>
      </c>
    </row>
  </sheetData>
  <mergeCells count="1">
    <mergeCell ref="A1:M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BAED4C651AD5C4F9C61E3D439BD1465" ma:contentTypeVersion="13" ma:contentTypeDescription="Create a new document." ma:contentTypeScope="" ma:versionID="ce2910eb92d412af5e68e906186e456a">
  <xsd:schema xmlns:xsd="http://www.w3.org/2001/XMLSchema" xmlns:xs="http://www.w3.org/2001/XMLSchema" xmlns:p="http://schemas.microsoft.com/office/2006/metadata/properties" xmlns:ns2="90e7079a-7589-470d-892b-836f3f5ab9a4" xmlns:ns3="9ef6bf99-292f-445d-95df-6a8984d5eb85" targetNamespace="http://schemas.microsoft.com/office/2006/metadata/properties" ma:root="true" ma:fieldsID="515374b20a642e181f96822d26be61e3" ns2:_="" ns3:_="">
    <xsd:import namespace="90e7079a-7589-470d-892b-836f3f5ab9a4"/>
    <xsd:import namespace="9ef6bf99-292f-445d-95df-6a8984d5eb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e7079a-7589-470d-892b-836f3f5ab9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b97a35b-a029-4e12-bd78-87cfbccc288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ef6bf99-292f-445d-95df-6a8984d5eb8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5d8e9b5-c8f6-49e6-bbbf-6bb72fe503af}" ma:internalName="TaxCatchAll" ma:showField="CatchAllData" ma:web="9ef6bf99-292f-445d-95df-6a8984d5eb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0e7079a-7589-470d-892b-836f3f5ab9a4">
      <Terms xmlns="http://schemas.microsoft.com/office/infopath/2007/PartnerControls"/>
    </lcf76f155ced4ddcb4097134ff3c332f>
    <TaxCatchAll xmlns="9ef6bf99-292f-445d-95df-6a8984d5eb85" xsi:nil="true"/>
  </documentManagement>
</p:properties>
</file>

<file path=customXml/itemProps1.xml><?xml version="1.0" encoding="utf-8"?>
<ds:datastoreItem xmlns:ds="http://schemas.openxmlformats.org/officeDocument/2006/customXml" ds:itemID="{BD140DD0-F902-4F77-8391-B244E61A1956}">
  <ds:schemaRefs>
    <ds:schemaRef ds:uri="http://schemas.microsoft.com/sharepoint/v3/contenttype/forms"/>
  </ds:schemaRefs>
</ds:datastoreItem>
</file>

<file path=customXml/itemProps2.xml><?xml version="1.0" encoding="utf-8"?>
<ds:datastoreItem xmlns:ds="http://schemas.openxmlformats.org/officeDocument/2006/customXml" ds:itemID="{25DA1620-1D86-45C7-B314-020B838F97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e7079a-7589-470d-892b-836f3f5ab9a4"/>
    <ds:schemaRef ds:uri="9ef6bf99-292f-445d-95df-6a8984d5eb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0F0796-44F0-4200-BF55-CD810B0863CB}">
  <ds:schemaRefs>
    <ds:schemaRef ds:uri="http://purl.org/dc/terms/"/>
    <ds:schemaRef ds:uri="http://purl.org/dc/elements/1.1/"/>
    <ds:schemaRef ds:uri="http://schemas.microsoft.com/office/2006/documentManagement/types"/>
    <ds:schemaRef ds:uri="http://schemas.microsoft.com/office/infopath/2007/PartnerControls"/>
    <ds:schemaRef ds:uri="e67e9a88-35e1-4b39-8da9-a609eb308282"/>
    <ds:schemaRef ds:uri="http://www.w3.org/XML/1998/namespace"/>
    <ds:schemaRef ds:uri="http://schemas.microsoft.com/office/2006/metadata/properties"/>
    <ds:schemaRef ds:uri="http://schemas.openxmlformats.org/package/2006/metadata/core-properties"/>
    <ds:schemaRef ds:uri="5d44ae6a-e145-4c9d-94e7-ddf9cc58067e"/>
    <ds:schemaRef ds:uri="http://purl.org/dc/dcmitype/"/>
    <ds:schemaRef ds:uri="90e7079a-7589-470d-892b-836f3f5ab9a4"/>
    <ds:schemaRef ds:uri="9ef6bf99-292f-445d-95df-6a8984d5eb85"/>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List of functions</vt:lpstr>
      <vt:lpstr>How to read an IO matrix</vt:lpstr>
      <vt:lpstr>Ex. 1</vt:lpstr>
      <vt:lpstr>Ex. 1 bis</vt:lpstr>
      <vt:lpstr>Ex. 2</vt:lpstr>
      <vt:lpstr>Ex. 3</vt:lpstr>
      <vt:lpstr>I</vt:lpstr>
      <vt:lpstr>M</vt:lpstr>
      <vt:lpstr>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Nicolò Golinucci</dc:creator>
  <cp:keywords/>
  <dc:description/>
  <cp:lastModifiedBy>Nicolò Golinucci</cp:lastModifiedBy>
  <cp:revision/>
  <dcterms:created xsi:type="dcterms:W3CDTF">2022-05-30T13:39:11Z</dcterms:created>
  <dcterms:modified xsi:type="dcterms:W3CDTF">2026-06-22T09:25:47Z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0x0101007BAED4C651AD5C4F9C61E3D439BD1465</vt:lpwstr>
  </property>
  <property fmtid="{D5CDD505-2E9C-101B-9397-08002B2CF9AE}" pid="3" name="MediaServiceImageTags">
    <vt:lpwstr/>
  </property>
</Properties>
</file>